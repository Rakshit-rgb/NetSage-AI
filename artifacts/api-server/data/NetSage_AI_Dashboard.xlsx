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Cases" sheetId="2" state="visible" r:id="rId4"/>
    <sheet name="AI_vs_Human" sheetId="3" state="visible" r:id="rId5"/>
    <sheet name="Rule_Checker" sheetId="4" state="visible" r:id="rId6"/>
    <sheet name="Case_Tracker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<sst xmlns="http://schemas.openxmlformats.org/spreadsheetml/2006/main" count="826" uniqueCount="301">
  <si>
    <t xml:space="preserve">NetSage AI — Diagnosis Dashboard</t>
  </si>
  <si>
    <t xml:space="preserve">Auto-calculated from Cases, AI_vs_Human, and Rule_Checker — recalculates when those sheets change</t>
  </si>
  <si>
    <t xml:space="preserve">Total Cases</t>
  </si>
  <si>
    <t xml:space="preserve">Evidence Complete</t>
  </si>
  <si>
    <t xml:space="preserve">Evidence Pending</t>
  </si>
  <si>
    <t xml:space="preserve">AI Agreement Rate</t>
  </si>
  <si>
    <t xml:space="preserve">Cases by Issue Type (concept_tag)</t>
  </si>
  <si>
    <t xml:space="preserve">Issue Type</t>
  </si>
  <si>
    <t xml:space="preserve">Count</t>
  </si>
  <si>
    <t xml:space="preserve">ACL misconfiguration</t>
  </si>
  <si>
    <t xml:space="preserve">Access/trunk mode mismatch</t>
  </si>
  <si>
    <t xml:space="preserve">Application service disabled</t>
  </si>
  <si>
    <t xml:space="preserve">DHCP</t>
  </si>
  <si>
    <t xml:space="preserve">DHCP relay missing</t>
  </si>
  <si>
    <t xml:space="preserve">DHCP service disabled</t>
  </si>
  <si>
    <t xml:space="preserve">DNS</t>
  </si>
  <si>
    <t xml:space="preserve">Duplicate IP</t>
  </si>
  <si>
    <t xml:space="preserve">EtherChannel member mismatch</t>
  </si>
  <si>
    <t xml:space="preserve">FTP</t>
  </si>
  <si>
    <t xml:space="preserve">Gateway</t>
  </si>
  <si>
    <t xml:space="preserve">Gateway mismatch</t>
  </si>
  <si>
    <t xml:space="preserve">Inter-VLAN Routing</t>
  </si>
  <si>
    <t xml:space="preserve">Complete</t>
  </si>
  <si>
    <t xml:space="preserve">Interface down</t>
  </si>
  <si>
    <t xml:space="preserve">Pending</t>
  </si>
  <si>
    <t xml:space="preserve">Missing route</t>
  </si>
  <si>
    <t xml:space="preserve">NAT</t>
  </si>
  <si>
    <t xml:space="preserve">NAT misconfiguration</t>
  </si>
  <si>
    <t xml:space="preserve">Native VLAN mismatch</t>
  </si>
  <si>
    <t xml:space="preserve">Port security violation</t>
  </si>
  <si>
    <t xml:space="preserve">Routing protocol mismatch</t>
  </si>
  <si>
    <t xml:space="preserve">STP root bridge / port role</t>
  </si>
  <si>
    <t xml:space="preserve">Trunk allowed-VLAN list</t>
  </si>
  <si>
    <t xml:space="preserve">VLAN</t>
  </si>
  <si>
    <t xml:space="preserve">VLAN misconfiguration</t>
  </si>
  <si>
    <t xml:space="preserve">Wrong DNS server</t>
  </si>
  <si>
    <t xml:space="preserve">Wrong subnet mask</t>
  </si>
  <si>
    <t xml:space="preserve">Cases by Severity</t>
  </si>
  <si>
    <t xml:space="preserve">Severity</t>
  </si>
  <si>
    <t xml:space="preserve">High</t>
  </si>
  <si>
    <t xml:space="preserve">Medium</t>
  </si>
  <si>
    <t xml:space="preserve">Low</t>
  </si>
  <si>
    <t xml:space="preserve">Unknown</t>
  </si>
  <si>
    <t xml:space="preserve">Human Review Outcomes (evidence-complete cases only)</t>
  </si>
  <si>
    <t xml:space="preserve">Status</t>
  </si>
  <si>
    <t xml:space="preserve">Accepted</t>
  </si>
  <si>
    <t xml:space="preserve">Edited</t>
  </si>
  <si>
    <t xml:space="preserve">Rejected</t>
  </si>
  <si>
    <t xml:space="preserve">Pending Evidence</t>
  </si>
  <si>
    <t xml:space="preserve">Deterministic Rule Checker</t>
  </si>
  <si>
    <t xml:space="preserve">Cases with real evidence checked</t>
  </si>
  <si>
    <t xml:space="preserve">Cases with &gt;=1 rule triggered</t>
  </si>
  <si>
    <t xml:space="preserve">Rule-checker trigger rate</t>
  </si>
  <si>
    <t xml:space="preserve">case_id</t>
  </si>
  <si>
    <t xml:space="preserve">pkt_file</t>
  </si>
  <si>
    <t xml:space="preserve">evidence_file</t>
  </si>
  <si>
    <t xml:space="preserve">evidence_status</t>
  </si>
  <si>
    <t xml:space="preserve">symptom</t>
  </si>
  <si>
    <t xml:space="preserve">topology_note</t>
  </si>
  <si>
    <t xml:space="preserve">show_output</t>
  </si>
  <si>
    <t xml:space="preserve">expected_fault</t>
  </si>
  <si>
    <t xml:space="preserve">osi_layer</t>
  </si>
  <si>
    <t xml:space="preserve">concept_tag</t>
  </si>
  <si>
    <t xml:space="preserve">severity</t>
  </si>
  <si>
    <t xml:space="preserve">C01</t>
  </si>
  <si>
    <t xml:space="preserve">Cisco__1__DNS_Problem_.pkt</t>
  </si>
  <si>
    <t xml:space="preserve">PENDING — evidence not yet supplied for this DNS Problem case.</t>
  </si>
  <si>
    <t xml:space="preserve">C02</t>
  </si>
  <si>
    <t xml:space="preserve">Cisco__2__DHCP_Problem_.pkt</t>
  </si>
  <si>
    <t xml:space="preserve">Cisco @6.docx</t>
  </si>
  <si>
    <t xml:space="preserve">PC3 was switched to DHCP mode and displayed 'DHCP request failed' — no IPv4 address, gateway, or DNS server was received.</t>
  </si>
  <si>
    <t xml:space="preserve">One Cisco 2911 router, one switch, and four PCs on a single LAN 192.168.10.0/24. Router provides DHCP via pool 'LAN' (network 192.168.10.0/24, default-router 192.168.10.1, dns-server 8.8.8.8, excluded 192.168.10.1).</t>
  </si>
  <si>
    <t xml:space="preserve">Router# show ip interface brief
GigabitEthernet0/0  192.168.10.1  YES manual  up  up
Router# show run | include dhcp
no service dhcp
ip dhcp pool LAN
 network 192.168.10.0 255.255.255.0
 default-router 192.168.10.1
 dns-server 8.8.8.8</t>
  </si>
  <si>
    <t xml:space="preserve">DHCP service disabled on the router ('no service dhcp') despite the DHCP pool being fully configured</t>
  </si>
  <si>
    <t xml:space="preserve">Layer 7 (Application)</t>
  </si>
  <si>
    <t xml:space="preserve">C03</t>
  </si>
  <si>
    <t xml:space="preserve">Cisco__3__Gateway_Problem_.pkt</t>
  </si>
  <si>
    <t xml:space="preserve">PENDING — evidence not yet supplied for this Gateway Problem case.</t>
  </si>
  <si>
    <t xml:space="preserve">C04</t>
  </si>
  <si>
    <t xml:space="preserve">Cisco__4__ACL_.pkt</t>
  </si>
  <si>
    <t xml:space="preserve">Cisco @4.pdf</t>
  </si>
  <si>
    <t xml:space="preserve">PC0 (192.168.10.10) could not reach Server0 (192.168.20.20) — ping showed 'Destination host unreachable' from the local gateway 192.168.10.1, 4 sent / 0 received / 100% loss.</t>
  </si>
  <si>
    <t xml:space="preserve">Router0 (G0/0 192.168.10.1/24 to Switch0/PC0, G0/1 192.168.20.1/24 to Switch1/PC1 and Server0), single router-on-a-stick style topology with two subnets.</t>
  </si>
  <si>
    <t xml:space="preserve">Router#show access-lists
Extended IP access list 100
 10 deny ip host 192.168.10.10 host 192.168.20.20
 20 permit ip any any
Router#show run interface gigabitEthernet 0/1
 ip access-group 100 out</t>
  </si>
  <si>
    <t xml:space="preserve">Extended ACL 100 explicitly denies traffic from PC0 (192.168.10.10) to Server0 (192.168.20.20), applied outbound on Gi0/1</t>
  </si>
  <si>
    <t xml:space="preserve">Layer 3/4 (Network/Transport)</t>
  </si>
  <si>
    <t xml:space="preserve">C05</t>
  </si>
  <si>
    <t xml:space="preserve">Cisco__5__TRUNK_.pkt</t>
  </si>
  <si>
    <t xml:space="preserve">Cisco @15.pdf</t>
  </si>
  <si>
    <t xml:space="preserve">Team needed to verify the inter-switch trunk carries both VLAN 10 (USERS) and VLAN 20 (STUDENTS); found only VLAN 1 and VLAN 20 permitted on Switch0 Fa0/2's allowed-VLAN list.</t>
  </si>
  <si>
    <t xml:space="preserve">Two Cisco 2960-24TT switches connected via Switch0 Fa0/2 &lt;-&gt; Switch1 Fa0/24. PC0/PC1 on Switch0, PC2/PC3 on Switch1. VLAN10=USERS, VLAN20=STUDENTS.</t>
  </si>
  <si>
    <t xml:space="preserve">Switch0#show interfaces trunk
Fa0/2  802.1Q  trunking  Native VLAN 1
Vlans allowed on trunk: 1,20
Switch0#show vlan brief
VLAN10 USERS active Fa0/1
VLAN20 STUDENTS active
PC0&gt;ping 192.168.20.12 -&gt; 4/4 replies, 0% loss</t>
  </si>
  <si>
    <t xml:space="preserve">VLAN 10 not included in the trunk's allowed-VLAN list on Switch0 Fa0/2 (only VLAN 1 and 20 permitted)</t>
  </si>
  <si>
    <t xml:space="preserve">Layer 2 (Data Link)</t>
  </si>
  <si>
    <t xml:space="preserve">C06</t>
  </si>
  <si>
    <t xml:space="preserve">Cisco__6__IP_Address_Conflict_.pkt</t>
  </si>
  <si>
    <t xml:space="preserve">Cisco @17.pdf</t>
  </si>
  <si>
    <t xml:space="preserve">PC0 and PC1 were both assigned IPv4 address 192.168.10.10, producing an IP address conflict on the LAN.</t>
  </si>
  <si>
    <t xml:space="preserve">One Cisco 2960 switch with PC0 (Fa0/1), PC1 (Fa0/2), PC2 (Fa0/3) directly connected; subnet 192.168.10.0/24.</t>
  </si>
  <si>
    <t xml:space="preserve">PC0 IP config: 192.168.10.10/24, gateway 192.168.10.1
PC1 IP config (fault): 192.168.10.10/24 (duplicate of PC0)
PC2&gt;arp -a and ping 192.168.10.10 used to confirm which host responds</t>
  </si>
  <si>
    <t xml:space="preserve">Duplicate IP address 192.168.10.10 assigned to both PC0 and PC1</t>
  </si>
  <si>
    <t xml:space="preserve">Layer 3 (Network)</t>
  </si>
  <si>
    <t xml:space="preserve">C07</t>
  </si>
  <si>
    <t xml:space="preserve">Cisco__7__Default_Wrong_Gateway_.pkt</t>
  </si>
  <si>
    <t xml:space="preserve">Cisco @18.pdf</t>
  </si>
  <si>
    <t xml:space="preserve">PC0 could ping its local gateway 192.168.10.1 but could not reach PC1 on 192.168.20.0/24 — ping to 192.168.20.10 returned 100% packet loss.</t>
  </si>
  <si>
    <t xml:space="preserve">Router0 (G0/0 192.168.10.1/24, G0/1 192.168.20.1/24), two switches, PC0 (192.168.10.10) and PC1 (192.168.20.10).</t>
  </si>
  <si>
    <t xml:space="preserve">PC0&gt;ping 192.168.20.10 -&gt; Request timed out (100% loss)
PC0&gt;ping 192.168.10.1 -&gt; Reply received
PC0 IP config shows default gateway is NOT 192.168.10.1</t>
  </si>
  <si>
    <t xml:space="preserve">PC0 configured with an incorrect default gateway instead of the correct 192.168.10.1</t>
  </si>
  <si>
    <t xml:space="preserve">C08</t>
  </si>
  <si>
    <t xml:space="preserve">Cisco__8__RIP_Routing_Error_.pkt</t>
  </si>
  <si>
    <t xml:space="preserve">Cisco @20.pdf</t>
  </si>
  <si>
    <t xml:space="preserve">PC0 could no longer reach PC1 on the remote LAN after previously working; the RIP-learned route to 192.168.20.0/24 was missing from Router0's routing table.</t>
  </si>
  <si>
    <t xml:space="preserve">Router0 (G0/0 192.168.10.1/24, G0/1 10.0.12.1/30) and Router1 (G0/1 10.0.12.2/30, G0/0 192.168.20.1/24) run RIPv2, no auto-summary. PC0 on 192.168.10.0/24, PC1 on 192.168.20.0/24.</t>
  </si>
  <si>
    <t xml:space="preserve">Router1#show ip protocols
Routing for Networks:
 10.0.0.0  (192.168.20.0 statement missing)
Router0#show ip route
(no R-coded route for 192.168.20.0/24)</t>
  </si>
  <si>
    <t xml:space="preserve">Missing 'network 192.168.20.0' statement under Router1's RIP configuration</t>
  </si>
  <si>
    <t xml:space="preserve">C09</t>
  </si>
  <si>
    <t xml:space="preserve">Cisco__9__Post_Security_.pkt</t>
  </si>
  <si>
    <t xml:space="preserve">Cisco @22.pdf</t>
  </si>
  <si>
    <t xml:space="preserve">PC0 lost connectivity to PC1; the switch port Fa0/1 entered an err-disabled state after a port-security violation.</t>
  </si>
  <si>
    <t xml:space="preserve">Cisco 2960 switch with PC0 (192.168.10.10, Fa0/1) and PC1 (192.168.10.11); Port Security enabled on Fa0/1 with one allowed secure MAC and violation mode = shutdown.</t>
  </si>
  <si>
    <t xml:space="preserve">Switch0#show port-security interface fa0/1
Port Security: Enabled
Port Status: Secure-shutdown
Security Violation Count: 1
%PSECURE-2: Security violation on Fa0/1</t>
  </si>
  <si>
    <t xml:space="preserve">Incorrect secure MAC address configured on Fa0/1; PC0's real MAC triggered a security violation and err-disabled the port</t>
  </si>
  <si>
    <t xml:space="preserve">C10</t>
  </si>
  <si>
    <t xml:space="preserve">Cisco__10__Wrong_Switch_Port_.pkt</t>
  </si>
  <si>
    <t xml:space="preserve">Cisco @23.pdf</t>
  </si>
  <si>
    <t xml:space="preserve">PC0, expected in VLAN 10 (USERS) on Fa0/1, was not correctly reaching intended VLAN 10 peers because Fa0/1 was assigned to the wrong access VLAN.</t>
  </si>
  <si>
    <t xml:space="preserve">Cisco 2960-24TT (Switch0) with VLAN 10 (USERS) and VLAN 20 (STUDENTS). PC0 on Fa0/1 (should be VLAN10, 192.168.10.10/24), PC1 on Fa0/2 (VLAN20, 192.168.20.10/24).</t>
  </si>
  <si>
    <t xml:space="preserve">Switch0#show interfaces fastEthernet 0/1 switchport
Administrative Mode: static access
Access Mode VLAN: 20  (should be 10)</t>
  </si>
  <si>
    <t xml:space="preserve">Fa0/1 assigned to the wrong access VLAN (20 instead of 10)</t>
  </si>
  <si>
    <t xml:space="preserve">C11</t>
  </si>
  <si>
    <t xml:space="preserve">Cisco__11__Native_VLAN_Mismatch_.pkt</t>
  </si>
  <si>
    <t xml:space="preserve">Cisco @24.pdf</t>
  </si>
  <si>
    <t xml:space="preserve">End-to-end connectivity between the two switches' PCs failed due to inconsistent native VLANs on the inter-switch trunk.</t>
  </si>
  <si>
    <t xml:space="preserve">Switch0 and Switch1 interconnected via Fa0/24; VLAN10 used for the PCs, VLAN20 used for the native-VLAN fault demonstration.</t>
  </si>
  <si>
    <t xml:space="preserve">Switch0#show interfaces trunk
Fa0/24  802.1Q trunking  Native VLAN: 10
Switch1#show interfaces trunk
Fa0/24  802.1Q trunking  Native VLAN: 20</t>
  </si>
  <si>
    <t xml:space="preserve">Native VLAN mismatch across the Fa0/24 trunk (Switch0=VLAN10, Switch1=VLAN20)</t>
  </si>
  <si>
    <t xml:space="preserve">C12</t>
  </si>
  <si>
    <t xml:space="preserve">Cisco__12__STP_Problem_.pkt</t>
  </si>
  <si>
    <t xml:space="preserve">Cisco @27.pdf</t>
  </si>
  <si>
    <t xml:space="preserve">Needed to confirm SW1 is the STP Root Bridge and that the redundant path in the SW1-SW2-SW3 triangle is correctly blocked to prevent a Layer-2 loop.</t>
  </si>
  <si>
    <t xml:space="preserve">SW1, SW2, SW3 form a Layer-2 triangle (PVST, VLAN 1); PC0 on SW2, PC1 on SW3.</t>
  </si>
  <si>
    <t xml:space="preserve">SW1#show spanning-tree vlan 1
Root ID  Priority 4097 (This bridge is the root)
SW3#show spanning-tree
Fa0/2 Root FWD | Fa0/1 Alternate BLK | Fa0/10 Designated FWD</t>
  </si>
  <si>
    <t xml:space="preserve">SW1 not originally configured with the lowest STP priority to become Root Bridge (fixed by setting VLAN 1 priority to 4096 on SW1)</t>
  </si>
  <si>
    <t xml:space="preserve">C13</t>
  </si>
  <si>
    <t xml:space="preserve">Cisco__13__DNS_Configuration_Error_.pkt</t>
  </si>
  <si>
    <t xml:space="preserve">Cisco @28.pdf</t>
  </si>
  <si>
    <t xml:space="preserve">PC0 could ping Server0 by IP (192.168.10.11) but nslookup and ping to www.netsage.local both failed, indicating hostname resolution was not working.</t>
  </si>
  <si>
    <t xml:space="preserve">Single LAN 192.168.10.0/24: PC0 (client, 192.168.10.10) and Server0 (DNS+Web, 192.168.10.11) via Switch0. A record: www.netsage.local -&gt; 192.168.10.11.</t>
  </si>
  <si>
    <t xml:space="preserve">PC0&gt;nslookup www.netsage.local -&gt; Request timed out (PC0's DNS server setting was wrong)
After correcting PC0's DNS server to 192.168.10.11: nslookup www.netsage.local -&gt; 192.168.10.11 (success)</t>
  </si>
  <si>
    <t xml:space="preserve">PC0 had an incorrect/missing DNS server configuration (should point to Server0 at 192.168.10.11)</t>
  </si>
  <si>
    <t xml:space="preserve">C14</t>
  </si>
  <si>
    <t xml:space="preserve">Cisco__14__NAT_Overload_Error_.pkt</t>
  </si>
  <si>
    <t xml:space="preserve">Cisco @9.docx</t>
  </si>
  <si>
    <t xml:space="preserve">PC0 (192.168.10.10) could not reach the external server 198.51.100.10 — ping showed 4 sent / 0 received / 100% loss — even though the local gateway and Router0-to-Router1 path both worked.</t>
  </si>
  <si>
    <t xml:space="preserve">Router0 performs PAT/NAT overload for 192.168.10.0/24 (G0/0 inside 192.168.10.1, G0/1 outside 203.0.113.1). Router1 simulates the ISP. External Server0 at 198.51.100.10.</t>
  </si>
  <si>
    <t xml:space="preserve">Router0#show ip nat translations
(empty)
Router0#show running-config | include ip nat
(overload rule missing — no 'ip nat inside source list 1 interface g0/1 overload')</t>
  </si>
  <si>
    <t xml:space="preserve">Missing NAT overload/PAT rule on Router0 ('ip nat inside source list 1 interface gigabitEthernet 0/1 overload' was removed)</t>
  </si>
  <si>
    <t xml:space="preserve">C15</t>
  </si>
  <si>
    <t xml:space="preserve">Cisco__15__FTP_Server_Error_.pkt</t>
  </si>
  <si>
    <t xml:space="preserve">PENDING — evidence not yet supplied for this FTP Server Error case.</t>
  </si>
  <si>
    <t xml:space="preserve">C16</t>
  </si>
  <si>
    <t xml:space="preserve">Cisco__16__Baseline_VLAN20_.pkt</t>
  </si>
  <si>
    <t xml:space="preserve">PENDING — evidence not yet supplied for this Baseline VLAN20 case.</t>
  </si>
  <si>
    <t xml:space="preserve">C17</t>
  </si>
  <si>
    <t xml:space="preserve">Cisco__17__DHCP_Problem_.pkt</t>
  </si>
  <si>
    <t xml:space="preserve">PENDING — evidence not yet supplied for this (second) DHCP Problem case.</t>
  </si>
  <si>
    <t xml:space="preserve">C18</t>
  </si>
  <si>
    <t xml:space="preserve">Cisco__18__DNS_Troubleshooting_.pkt</t>
  </si>
  <si>
    <t xml:space="preserve">PENDING — evidence not yet supplied for this DNS Troubleshooting case.</t>
  </si>
  <si>
    <t xml:space="preserve">C19</t>
  </si>
  <si>
    <t xml:space="preserve">Cisco__19__Static_RouterError_.pkt</t>
  </si>
  <si>
    <t xml:space="preserve">Cisco @11.docx</t>
  </si>
  <si>
    <t xml:space="preserve">PC0 could no longer reach PC1 at 192.168.30.10 — ping returned 100% packet loss — after previously working.</t>
  </si>
  <si>
    <t xml:space="preserve">Three-router chain: R0 (192.168.10.1 LAN, 10.0.0.1 to R1), R1 (10.0.0.2, 20.0.0.1 to R2), R2 (20.0.0.2, 192.168.30.1 LAN).</t>
  </si>
  <si>
    <t xml:space="preserve">R0#show ip route
192.168.10.0/24 and 10.0.0.0/30 connected; 20.0.0.0/30 via R1; NO route to 192.168.30.0/24</t>
  </si>
  <si>
    <t xml:space="preserve">Static route to 192.168.30.0/24 via 10.0.0.2 was removed from Router0 ('no ip route 192.168.30.0 255.255.255.0 10.0.0.2')</t>
  </si>
  <si>
    <t xml:space="preserve">C20</t>
  </si>
  <si>
    <t xml:space="preserve">Cisco__20__Routing_Troubleshooting_.pkt</t>
  </si>
  <si>
    <t xml:space="preserve">Cisco @10.docx</t>
  </si>
  <si>
    <t xml:space="preserve">PC0 could reach its own gateway but could not reach remote PC2 on 192.168.20.0/24.</t>
  </si>
  <si>
    <t xml:space="preserve">Two LANs (192.168.10.0/24, 192.168.20.0/24) connected via Router0 and Router1 across a 10.0.0.0/30 transit link.</t>
  </si>
  <si>
    <t xml:space="preserve">Router0#show ip route
connected routes for 192.168.10.0/24 and 10.0.0.0/30 present; NO route for 192.168.20.0/24</t>
  </si>
  <si>
    <t xml:space="preserve">Missing static routes on Router0 (to 192.168.20.0/24) and Router1 (return route to 192.168.10.0/24)</t>
  </si>
  <si>
    <t xml:space="preserve">C21</t>
  </si>
  <si>
    <t xml:space="preserve">Cisco__21__Wrong_SubnetMask_.pkt</t>
  </si>
  <si>
    <t xml:space="preserve">Cisco @12.docx</t>
  </si>
  <si>
    <t xml:space="preserve">PC1 could not communicate correctly with PC0/PC2 on the same LAN due to an incorrect subnet mask.</t>
  </si>
  <si>
    <t xml:space="preserve">One router, one switch, three PCs, all intended for 192.168.10.0/24: PC0 (.10), PC1 (.11), PC2 (.12).</t>
  </si>
  <si>
    <t xml:space="preserve">PC1&gt;ipconfig
IPv4 Address: 192.168.10.11
Subnet Mask: 255.255.0.0  (should be 255.255.255.0)
Default Gateway: 192.168.10.1</t>
  </si>
  <si>
    <t xml:space="preserve">PC1 configured with subnet mask 255.255.0.0 instead of 255.255.255.0</t>
  </si>
  <si>
    <t xml:space="preserve">C22</t>
  </si>
  <si>
    <t xml:space="preserve">Cisco__22__OSPF_RoutingError_.pkt</t>
  </si>
  <si>
    <t xml:space="preserve">Cisco @13.docx</t>
  </si>
  <si>
    <t xml:space="preserve">Router1 stopped learning Router0's LAN network via OSPF even though the R0-R1 OSPF adjacency remained FULL.</t>
  </si>
  <si>
    <t xml:space="preserve">Router0 (G0/0 192.168.10.1/24) and Router1 (G0/0 192.168.20.1/24) connected via 10.0.0.0/30, OSPF area 0.</t>
  </si>
  <si>
    <t xml:space="preserve">Router0#show run | section router ospf
network 192.168.100.0 0.0.0.255 area 0  (wrong; actual LAN is 192.168.10.0/24)
Router1#show ip route
(no OSPF route to 192.168.10.0/24)</t>
  </si>
  <si>
    <t xml:space="preserve">Incorrect OSPF network statement on Router0 (192.168.100.0/24 instead of the actual LAN 192.168.10.0/24)</t>
  </si>
  <si>
    <t xml:space="preserve">C23</t>
  </si>
  <si>
    <t xml:space="preserve">Cisco__23__VLAN_Mismatch_.pkt</t>
  </si>
  <si>
    <t xml:space="preserve">Cisco @16.docx</t>
  </si>
  <si>
    <t xml:space="preserve">PC0 could no longer ping PC1 after previously working — ping returned 4 sent / 4 lost, 100% packet loss.</t>
  </si>
  <si>
    <t xml:space="preserve">Single Cisco 2960-24TT switch; PC0 (Fa0/1) and PC1 (Fa0/2), both on 192.168.20.0/24, intended for VLAN 20.</t>
  </si>
  <si>
    <t xml:space="preserve">Switch0#show vlan brief
Fa0/1 -&gt; VLAN 20
Fa0/2 -&gt; VLAN 30  (should be VLAN 20)</t>
  </si>
  <si>
    <t xml:space="preserve">Fa0/2 assigned to VLAN 30 instead of VLAN 20</t>
  </si>
  <si>
    <t xml:space="preserve">C24</t>
  </si>
  <si>
    <t xml:space="preserve">Cisco__24__Shutdown_Interfaces_.pkt</t>
  </si>
  <si>
    <t xml:space="preserve">Cisco @14.docx</t>
  </si>
  <si>
    <t xml:space="preserve">PC0 could not reach the router gateway 192.168.10.1 after the router's LAN interface was disabled.</t>
  </si>
  <si>
    <t xml:space="preserve">Router0 (2911) -&gt; Switch0 (2960-24TT) -&gt; PC0 (192.168.10.10/24); GigabitEthernet0/0 = 192.168.10.1/24.</t>
  </si>
  <si>
    <t xml:space="preserve">R0#show ip interface brief
GigabitEthernet0/0  192.168.10.1  YES manual  administratively down  down</t>
  </si>
  <si>
    <t xml:space="preserve">GigabitEthernet0/0 administratively shut down on Router0</t>
  </si>
  <si>
    <t xml:space="preserve">Layer 1 (Physical)</t>
  </si>
  <si>
    <t xml:space="preserve">C25</t>
  </si>
  <si>
    <t xml:space="preserve">Cisco__25__Access_Port_Error_.pkt</t>
  </si>
  <si>
    <t xml:space="preserve">Cisco @19.docx</t>
  </si>
  <si>
    <t xml:space="preserve">PC1 could not reach PC2 on the same intended VLAN because the PC-facing switch port was operating as a trunk instead of an access port.</t>
  </si>
  <si>
    <t xml:space="preserve">SW1 and SW2 with a Gi0/1 inter-switch trunk (VLANs 10,20); PC1 (VLAN10, 192.168.10.10) and PC2 (VLAN10, 192.168.10.20) on SW2's Fa0/1/Fa0/2.</t>
  </si>
  <si>
    <t xml:space="preserve">SW2#show interfaces trunk
Fa0/1 and Gi0/1 both show trunking  (Fa0/1 should be an access port, not trunk)</t>
  </si>
  <si>
    <t xml:space="preserve">PC-facing interface Fa0/1 on SW2 configured as a trunk instead of an access port in VLAN 10</t>
  </si>
  <si>
    <t xml:space="preserve">C26</t>
  </si>
  <si>
    <t xml:space="preserve">Cisco__26__EtherChannel_Error_.pkt</t>
  </si>
  <si>
    <t xml:space="preserve">Cisco @21.docx</t>
  </si>
  <si>
    <t xml:space="preserve">The SW1-SW2 EtherChannel lost one of its three bundled physical links; show etherchannel summary showed Fa0/23 suspended (S) instead of bundled (P).</t>
  </si>
  <si>
    <t xml:space="preserve">Three FastEthernet links (Fa0/21-23) between SW1 and SW2 bundled into Port-Channel 1 using LACP.</t>
  </si>
  <si>
    <t xml:space="preserve">SW2#show etherchannel summary
Po1(SU)  Fa0/21(P)  Fa0/22(P)  Fa0/23(S)</t>
  </si>
  <si>
    <t xml:space="preserve">SW2 Fa0/23 configured with switchport mode access instead of trunk, and LACP passive instead of active, excluding it from the bundle</t>
  </si>
  <si>
    <t xml:space="preserve">C27</t>
  </si>
  <si>
    <t xml:space="preserve">Cisco__27__HTTP_WebServer_Error_.pkt</t>
  </si>
  <si>
    <t xml:space="preserve">Cisco @26.docx</t>
  </si>
  <si>
    <t xml:space="preserve">PC1 could ping Server1 successfully (0% loss) but the browser could not load http://192.168.20.10 — showed 'Server Reset Connection'.</t>
  </si>
  <si>
    <t xml:space="preserve">PC1 (192.168.10.10) -&gt; Switch1 -&gt; R1 (G0/0 192.168.10.1, G0/1 192.168.20.1) -&gt; Switch2 -&gt; Server1 (192.168.20.10).</t>
  </si>
  <si>
    <t xml:space="preserve">PC1&gt;ping 192.168.20.10 -&gt; 4/4 replies, 0% loss
Browser: http://192.168.20.10 -&gt; 'Server Reset Connection'
Server1 Services -&gt; HTTP: OFF</t>
  </si>
  <si>
    <t xml:space="preserve">HTTP service disabled on Server1 — an application-layer fault, not a network/IP issue</t>
  </si>
  <si>
    <t xml:space="preserve">C28</t>
  </si>
  <si>
    <t xml:space="preserve">Cisco__28__DHCP_Relay_Error_.pkt</t>
  </si>
  <si>
    <t xml:space="preserve">Cisco @25.docx</t>
  </si>
  <si>
    <t xml:space="preserve">PC0 (VLAN 20) and PC1 (VLAN 30) both remained on DHCP but received no IPv4 address, subnet mask, or default gateway.</t>
  </si>
  <si>
    <t xml:space="preserve">Server0 (DHCP, 192.168.10.10) -&gt; Switch0 -&gt; Router0 (inter-VLAN routing, G0/1.20 and G0/1.30 subinterfaces) -&gt; Switch1 -&gt; PC0 (VLAN20)/PC1 (VLAN30).</t>
  </si>
  <si>
    <t xml:space="preserve">Router0#show run interface gigabitEthernet 0/1.20
(no ip helper-address configured)
Router0#show run interface gigabitEthernet 0/1.30
(no ip helper-address configured)</t>
  </si>
  <si>
    <t xml:space="preserve">'ip helper-address 192.168.10.10' removed from both G0/1.20 and G0/1.30 subinterfaces</t>
  </si>
  <si>
    <t xml:space="preserve">C29</t>
  </si>
  <si>
    <t xml:space="preserve">Cisco__29__NAT_Working_Baseline_.pkt</t>
  </si>
  <si>
    <t xml:space="preserve">PENDING — evidence not yet supplied for this NAT Working Baseline case.</t>
  </si>
  <si>
    <t xml:space="preserve">C30</t>
  </si>
  <si>
    <t xml:space="preserve">Cisco__30__Inter-VLAN_Routing_.pkt</t>
  </si>
  <si>
    <t xml:space="preserve">PENDING — evidence not yet supplied for this Inter-VLAN Routing case.</t>
  </si>
  <si>
    <t xml:space="preserve">ai_root_cause</t>
  </si>
  <si>
    <t xml:space="preserve">ai_confidence</t>
  </si>
  <si>
    <t xml:space="preserve">ai_matches_expected</t>
  </si>
  <si>
    <t xml:space="preserve">review_status</t>
  </si>
  <si>
    <t xml:space="preserve">reviewer_notes</t>
  </si>
  <si>
    <t xml:space="preserve">Not yet diagnosed — evidence pending</t>
  </si>
  <si>
    <t xml:space="preserve">pending</t>
  </si>
  <si>
    <t xml:space="preserve">Case not yet reviewed — awaiting evidence document.</t>
  </si>
  <si>
    <t xml:space="preserve">DHCP service disabled on the router (no service dhcp) with the pool otherwise intact</t>
  </si>
  <si>
    <t xml:space="preserve">high</t>
  </si>
  <si>
    <t xml:space="preserve">yes</t>
  </si>
  <si>
    <t xml:space="preserve">AI diagnosis matched the expected fault and cited the correct evidence.</t>
  </si>
  <si>
    <t xml:space="preserve">Extended ACL 100 denies PC0 -&gt; Server0 traffic, applied outbound on Gi0/1</t>
  </si>
  <si>
    <t xml:space="preserve">VLAN 10 missing from the trunk's allowed-VLAN list on Switch0 Fa0/2</t>
  </si>
  <si>
    <t xml:space="preserve">Duplicate IP address 192.168.10.10 assigned to two hosts</t>
  </si>
  <si>
    <t xml:space="preserve">PC0's default gateway does not match the router interface on its subnet</t>
  </si>
  <si>
    <t xml:space="preserve">RIP is not advertising the remote LAN because auto-summary is misconfigured on Router1</t>
  </si>
  <si>
    <t xml:space="preserve">medium</t>
  </si>
  <si>
    <t xml:space="preserve">no</t>
  </si>
  <si>
    <t xml:space="preserve">AI blamed auto-summary, but show ip protocols clearly lists 'Routing for Networks: 10.0.0.0' with no 192.168.20.0 entry at all — the network statement itself is missing, not an auto-summary setting. Reviewer corrected root_cause and evidence citation.</t>
  </si>
  <si>
    <t xml:space="preserve">Fa0/1 was manually shut down by an administrator</t>
  </si>
  <si>
    <t xml:space="preserve">AI assumed a manual shutdown, but the evidence explicitly shows a %PSECURE-2 violation message and Secure-shutdown status with Violation Count: 1 — this is a port-security err-disable, a different mechanism with a different fix (correct the secure MAC + 'shutdown'/'no shutdown' recovery, not just 'no shutdown'). Reviewer rejected and re-ran with a prompt reminder to check for PSECURE messages before assuming a plain admin shutdown.</t>
  </si>
  <si>
    <t xml:space="preserve">Native VLAN mismatch between Switch0 and Switch1 on the Fa0/24 trunk</t>
  </si>
  <si>
    <t xml:space="preserve">VLAN 1 is not enabled for spanning-tree on SW1</t>
  </si>
  <si>
    <t xml:space="preserve">AI said VLAN 1 wasn't enabled for STP, but the evidence shows STP running fine — SW1 simply didn't have the lowest priority to win the root election. Reviewer corrected root_cause to the priority/root-election explanation and cited the 'This bridge is the root' line.</t>
  </si>
  <si>
    <t xml:space="preserve">Server0's DNS service is not running</t>
  </si>
  <si>
    <t xml:space="preserve">AI assumed the DNS server process was down, but the evidence shows Server0's own A record and service were fine — the fault was PC0's client-side DNS server setting pointing to the wrong address. Reviewer corrected root_cause to point at the client configuration, not the server.</t>
  </si>
  <si>
    <t xml:space="preserve">NAT overload/PAT rule missing on Router0</t>
  </si>
  <si>
    <t xml:space="preserve">Static route to 192.168.30.0/24 missing on Router0</t>
  </si>
  <si>
    <t xml:space="preserve">Missing static routes on Router0 and Router1 for each other's LANs</t>
  </si>
  <si>
    <t xml:space="preserve">PC1 configured with the wrong subnet mask (255.255.0.0 instead of 255.255.255.0)</t>
  </si>
  <si>
    <t xml:space="preserve">Incorrect OSPF network statement on Router0 (192.168.100.0/24 instead of 192.168.10.0/24)</t>
  </si>
  <si>
    <t xml:space="preserve">PC-facing Fa0/1 on SW2 configured as trunk instead of access mode</t>
  </si>
  <si>
    <t xml:space="preserve">Duplex mismatch on SW2 Fa0/23 causing it to drop from the EtherChannel</t>
  </si>
  <si>
    <t xml:space="preserve">AI guessed a duplex mismatch, a generic EtherChannel symptom, but show etherchannel summary plus the interface config clearly show Fa0/23 in access mode with LACP passive while its peers are trunk/active — a configuration mismatch, not a duplex issue. Reviewer corrected root_cause and evidence citation.</t>
  </si>
  <si>
    <t xml:space="preserve">HTTP service disabled on Server1</t>
  </si>
  <si>
    <t xml:space="preserve">ip helper-address missing on the VLAN 20 and VLAN 30 router subinterfaces</t>
  </si>
  <si>
    <t xml:space="preserve">checks_triggered</t>
  </si>
  <si>
    <t xml:space="preserve">checker_notes</t>
  </si>
  <si>
    <t xml:space="preserve">num_checks_triggered</t>
  </si>
  <si>
    <t xml:space="preserve">not run</t>
  </si>
  <si>
    <t xml:space="preserve">Evidence pending — rule checker not run for this case yet.</t>
  </si>
  <si>
    <t xml:space="preserve">0</t>
  </si>
  <si>
    <t xml:space="preserve">none</t>
  </si>
  <si>
    <t xml:space="preserve">No deterministic rule matched — relies on AI/human judgment.</t>
  </si>
  <si>
    <t xml:space="preserve">duplicate_ip</t>
  </si>
  <si>
    <t xml:space="preserve">Duplicate IP detected: 192.168.10.10 appears more than once.</t>
  </si>
  <si>
    <t xml:space="preserve">1</t>
  </si>
  <si>
    <t xml:space="preserve">mask_mismatch</t>
  </si>
  <si>
    <t xml:space="preserve">Multiple CIDR prefix lengths found on hosts expected to share a subnet: ['24', '30'].</t>
  </si>
  <si>
    <t xml:space="preserve">interface_down</t>
  </si>
  <si>
    <t xml:space="preserve">Interface is administratively down (shutdown) — a human should verify this was intentional.</t>
  </si>
  <si>
    <t xml:space="preserve">Evidence Still Needed</t>
  </si>
  <si>
    <t xml:space="preserve">These .pkt topologies have been received but still need an evidence document before they can be diagnosed.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</si>
</sst>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%"/>
    <numFmt numFmtId="166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8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20"/>
      <color rgb="FF1F4E78"/>
      <name val="Arial"/>
      <family val="0"/>
      <charset val="1"/>
    </font>
    <font>
      <sz val="9"/>
      <color rgb="FF666666"/>
      <name val="Arial"/>
      <family val="0"/>
      <charset val="1"/>
    </font>
    <font>
      <b val="true"/>
      <sz val="11"/>
      <color rgb="FF1F4E78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EAF1F8"/>
        <bgColor rgb="FFFFFFFF"/>
      </patternFill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name val="Arial"/>
        <charset val="1"/>
        <family val="0"/>
        <color rgb="FF9C0006"/>
      </font>
      <fill>
        <patternFill>
          <bgColor rgb="FFFFC7CE"/>
        </patternFill>
      </fill>
    </dxf>
    <dxf>
      <font>
        <name val="Arial"/>
        <charset val="1"/>
        <family val="0"/>
        <color rgb="FF006100"/>
      </font>
      <fill>
        <patternFill>
          <bgColor rgb="FFC6EFCE"/>
        </patternFill>
      </fill>
    </dxf>
    <dxf>
      <font>
        <name val="Arial"/>
        <charset val="1"/>
        <family val="0"/>
        <color rgb="FF9C6500"/>
      </font>
      <fill>
        <patternFill>
          <bgColor rgb="FFFFEB9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C0C0C0"/>
      <rgbColor rgb="FF878787"/>
      <rgbColor rgb="FF9999FF"/>
      <rgbColor rgb="FFC0504D"/>
      <rgbColor rgb="FFFFFFCC"/>
      <rgbColor rgb="FFEAF1F8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4F81BD"/>
      <rgbColor rgb="FF33CCCC"/>
      <rgbColor rgb="FF9BBB59"/>
      <rgbColor rgb="FFFFCC00"/>
      <rgbColor rgb="FFFF9900"/>
      <rgbColor rgb="FFFF6600"/>
      <rgbColor rgb="FF8064A2"/>
      <rgbColor rgb="FF66666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Cases by Issue Type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Dashboard!C10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Dashboard!$B$11:$B$36</c:f>
              <c:strCache>
                <c:ptCount val="26"/>
                <c:pt idx="0">
                  <c:v>ACL misconfiguration</c:v>
                </c:pt>
                <c:pt idx="1">
                  <c:v>Access/trunk mode mismatch</c:v>
                </c:pt>
                <c:pt idx="2">
                  <c:v>Application service disabled</c:v>
                </c:pt>
                <c:pt idx="3">
                  <c:v>DHCP</c:v>
                </c:pt>
                <c:pt idx="4">
                  <c:v>DHCP relay missing</c:v>
                </c:pt>
                <c:pt idx="5">
                  <c:v>DHCP service disabled</c:v>
                </c:pt>
                <c:pt idx="6">
                  <c:v>DNS</c:v>
                </c:pt>
                <c:pt idx="7">
                  <c:v>Duplicate IP</c:v>
                </c:pt>
                <c:pt idx="8">
                  <c:v>EtherChannel member mismatch</c:v>
                </c:pt>
                <c:pt idx="9">
                  <c:v>FTP</c:v>
                </c:pt>
                <c:pt idx="10">
                  <c:v>Gateway</c:v>
                </c:pt>
                <c:pt idx="11">
                  <c:v>Gateway mismatch</c:v>
                </c:pt>
                <c:pt idx="12">
                  <c:v>Inter-VLAN Routing</c:v>
                </c:pt>
                <c:pt idx="13">
                  <c:v>Interface down</c:v>
                </c:pt>
                <c:pt idx="14">
                  <c:v>Missing route</c:v>
                </c:pt>
                <c:pt idx="15">
                  <c:v>NAT</c:v>
                </c:pt>
                <c:pt idx="16">
                  <c:v>NAT misconfiguration</c:v>
                </c:pt>
                <c:pt idx="17">
                  <c:v>Native VLAN mismatch</c:v>
                </c:pt>
                <c:pt idx="18">
                  <c:v>Port security violation</c:v>
                </c:pt>
                <c:pt idx="19">
                  <c:v>Routing protocol mismatch</c:v>
                </c:pt>
                <c:pt idx="20">
                  <c:v>STP root bridge / port role</c:v>
                </c:pt>
                <c:pt idx="21">
                  <c:v>Trunk allowed-VLAN list</c:v>
                </c:pt>
                <c:pt idx="22">
                  <c:v>VLAN</c:v>
                </c:pt>
                <c:pt idx="23">
                  <c:v>VLAN misconfiguration</c:v>
                </c:pt>
                <c:pt idx="24">
                  <c:v>Wrong DNS server</c:v>
                </c:pt>
                <c:pt idx="25">
                  <c:v>Wrong subnet mask</c:v>
                </c:pt>
              </c:strCache>
            </c:strRef>
          </c:cat>
          <c:val>
            <c:numRef>
              <c:f>Dashboard!$C$11:$C$36</c:f>
              <c:numCache>
                <c:formatCode>General</c:formatCode>
                <c:ptCount val="2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2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2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2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2</c:v>
                </c:pt>
                <c:pt idx="24">
                  <c:v>1</c:v>
                </c:pt>
                <c:pt idx="25">
                  <c:v>1</c:v>
                </c:pt>
              </c:numCache>
            </c:numRef>
          </c:val>
        </c:ser>
        <c:gapWidth val="150"/>
        <c:overlap val="0"/>
        <c:axId val="51273317"/>
        <c:axId val="10790210"/>
      </c:barChart>
      <c:catAx>
        <c:axId val="5127331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0790210"/>
        <c:crosses val="autoZero"/>
        <c:auto val="1"/>
        <c:lblAlgn val="ctr"/>
        <c:lblOffset val="100"/>
        <c:noMultiLvlLbl val="0"/>
      </c:catAx>
      <c:valAx>
        <c:axId val="1079021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Count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127331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Cases by Severity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Dashboard!C40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Dashboard!$B$41:$B$44</c:f>
              <c:strCache>
                <c:ptCount val="4"/>
                <c:pt idx="0">
                  <c:v>High</c:v>
                </c:pt>
                <c:pt idx="1">
                  <c:v>Medium</c:v>
                </c:pt>
                <c:pt idx="2">
                  <c:v>Low</c:v>
                </c:pt>
                <c:pt idx="3">
                  <c:v>Unknown</c:v>
                </c:pt>
              </c:strCache>
            </c:strRef>
          </c:cat>
          <c:val>
            <c:numRef>
              <c:f>Dashboard!$C$41:$C$44</c:f>
              <c:numCache>
                <c:formatCode>General</c:formatCode>
                <c:ptCount val="4"/>
                <c:pt idx="0">
                  <c:v>13</c:v>
                </c:pt>
                <c:pt idx="1">
                  <c:v>9</c:v>
                </c:pt>
                <c:pt idx="2">
                  <c:v>0</c:v>
                </c:pt>
                <c:pt idx="3">
                  <c:v>8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Evidence Coverage (Complete vs Pending)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Dashboard!$N$23:$N$24</c:f>
              <c:strCache>
                <c:ptCount val="2"/>
                <c:pt idx="0">
                  <c:v>Complete</c:v>
                </c:pt>
                <c:pt idx="1">
                  <c:v>Pending</c:v>
                </c:pt>
              </c:strCache>
            </c:strRef>
          </c:cat>
          <c:val>
            <c:numRef>
              <c:f>Dashboard!$O$23:$O$24</c:f>
              <c:numCache>
                <c:formatCode>General</c:formatCode>
                <c:ptCount val="2"/>
                <c:pt idx="0">
                  <c:v>22</c:v>
                </c:pt>
                <c:pt idx="1">
                  <c:v>8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Human Review Outcomes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Dashboard!$B$49:$B$52</c:f>
              <c:strCache>
                <c:ptCount val="4"/>
                <c:pt idx="0">
                  <c:v>Accepted</c:v>
                </c:pt>
                <c:pt idx="1">
                  <c:v>Edited</c:v>
                </c:pt>
                <c:pt idx="2">
                  <c:v>Rejected</c:v>
                </c:pt>
                <c:pt idx="3">
                  <c:v>Pending Evidence</c:v>
                </c:pt>
              </c:strCache>
            </c:strRef>
          </c:cat>
          <c:val>
            <c:numRef>
              <c:f>Dashboard!$C$49:$C$52</c:f>
              <c:numCache>
                <c:formatCode>General</c:formatCode>
                <c:ptCount val="4"/>
                <c:pt idx="0">
                  <c:v>17</c:v>
                </c:pt>
                <c:pt idx="1">
                  <c:v>4</c:v>
                </c:pt>
                <c:pt idx="2">
                  <c:v>1</c:v>
                </c:pt>
                <c:pt idx="3">
                  <c:v>8</c:v>
                </c:pt>
              </c:numCache>
            </c:numRef>
          </c:val>
        </c:ser>
        <c:gapWidth val="150"/>
        <c:overlap val="0"/>
        <c:axId val="35656089"/>
        <c:axId val="37524021"/>
      </c:barChart>
      <c:catAx>
        <c:axId val="3565608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7524021"/>
        <c:crosses val="autoZero"/>
        <c:auto val="1"/>
        <c:lblAlgn val="ctr"/>
        <c:lblOffset val="100"/>
        <c:noMultiLvlLbl val="0"/>
      </c:catAx>
      <c:valAx>
        <c:axId val="3752402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Count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565608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10</xdr:col>
      <xdr:colOff>0</xdr:colOff>
      <xdr:row>3</xdr:row>
      <xdr:rowOff>131040</xdr:rowOff>
    </xdr:from>
    <xdr:to>
      <xdr:col>20</xdr:col>
      <xdr:colOff>4320</xdr:colOff>
      <xdr:row>20</xdr:row>
      <xdr:rowOff>11880</xdr:rowOff>
    </xdr:to>
    <xdr:graphicFrame>
      <xdr:nvGraphicFramePr>
        <xdr:cNvPr id="0" name="Chart 1"/>
        <xdr:cNvGraphicFramePr/>
      </xdr:nvGraphicFramePr>
      <xdr:xfrm>
        <a:off x="9140040" y="762120"/>
        <a:ext cx="61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0</xdr:colOff>
      <xdr:row>21</xdr:row>
      <xdr:rowOff>10800</xdr:rowOff>
    </xdr:from>
    <xdr:to>
      <xdr:col>17</xdr:col>
      <xdr:colOff>38880</xdr:colOff>
      <xdr:row>36</xdr:row>
      <xdr:rowOff>33120</xdr:rowOff>
    </xdr:to>
    <xdr:graphicFrame>
      <xdr:nvGraphicFramePr>
        <xdr:cNvPr id="1" name="Chart 2"/>
        <xdr:cNvGraphicFramePr/>
      </xdr:nvGraphicFramePr>
      <xdr:xfrm>
        <a:off x="9140040" y="4191120"/>
        <a:ext cx="43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10</xdr:col>
      <xdr:colOff>0</xdr:colOff>
      <xdr:row>38</xdr:row>
      <xdr:rowOff>10800</xdr:rowOff>
    </xdr:from>
    <xdr:to>
      <xdr:col>17</xdr:col>
      <xdr:colOff>38880</xdr:colOff>
      <xdr:row>53</xdr:row>
      <xdr:rowOff>33120</xdr:rowOff>
    </xdr:to>
    <xdr:graphicFrame>
      <xdr:nvGraphicFramePr>
        <xdr:cNvPr id="2" name="Chart 3"/>
        <xdr:cNvGraphicFramePr/>
      </xdr:nvGraphicFramePr>
      <xdr:xfrm>
        <a:off x="9140040" y="7429680"/>
        <a:ext cx="43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10</xdr:col>
      <xdr:colOff>0</xdr:colOff>
      <xdr:row>56</xdr:row>
      <xdr:rowOff>10800</xdr:rowOff>
    </xdr:from>
    <xdr:to>
      <xdr:col>18</xdr:col>
      <xdr:colOff>147600</xdr:colOff>
      <xdr:row>71</xdr:row>
      <xdr:rowOff>33120</xdr:rowOff>
    </xdr:to>
    <xdr:graphicFrame>
      <xdr:nvGraphicFramePr>
        <xdr:cNvPr id="3" name="Chart 4"/>
        <xdr:cNvGraphicFramePr/>
      </xdr:nvGraphicFramePr>
      <xdr:xfrm>
        <a:off x="9140040" y="10858680"/>
        <a:ext cx="50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O5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4"/>
    <col collapsed="false" customWidth="true" hidden="false" outlineLevel="0" max="9" min="3" style="0" width="12"/>
  </cols>
  <sheetData>
    <row r="2" customFormat="false" ht="19.7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24.45" hidden="false" customHeight="false" outlineLevel="0" collapsed="false">
      <c r="B5" s="3" t="n">
        <v>30</v>
      </c>
      <c r="C5" s="3"/>
      <c r="D5" s="3" t="n">
        <f aca="false">COUNTIF(AI_vs_Human!$B$2:$B$31,"Complete")</f>
        <v>22</v>
      </c>
      <c r="E5" s="3"/>
      <c r="F5" s="3" t="n">
        <f aca="false">COUNTIF(AI_vs_Human!$B$2:$B$31,"Pending")</f>
        <v>8</v>
      </c>
      <c r="G5" s="3"/>
      <c r="H5" s="4" t="n">
        <f aca="false">COUNTIF(AI_vs_Human!$H$2:$H$31,"yes")/COUNTIF(AI_vs_Human!$B$2:$B$31,"Complete")</f>
        <v>0.772727272727273</v>
      </c>
      <c r="I5" s="4"/>
    </row>
    <row r="6" customFormat="false" ht="15" hidden="false" customHeight="false" outlineLevel="0" collapsed="false">
      <c r="B6" s="5" t="s">
        <v>2</v>
      </c>
      <c r="D6" s="5" t="s">
        <v>3</v>
      </c>
      <c r="F6" s="5" t="s">
        <v>4</v>
      </c>
      <c r="H6" s="5" t="s">
        <v>5</v>
      </c>
    </row>
    <row r="9" customFormat="false" ht="15" hidden="false" customHeight="false" outlineLevel="0" collapsed="false">
      <c r="B9" s="6" t="s">
        <v>6</v>
      </c>
    </row>
    <row r="10" customFormat="false" ht="15" hidden="false" customHeight="false" outlineLevel="0" collapsed="false">
      <c r="B10" s="7" t="s">
        <v>7</v>
      </c>
      <c r="C10" s="7" t="s">
        <v>8</v>
      </c>
    </row>
    <row r="11" customFormat="false" ht="15" hidden="false" customHeight="false" outlineLevel="0" collapsed="false">
      <c r="B11" s="0" t="s">
        <v>9</v>
      </c>
      <c r="C11" s="0" t="n">
        <f aca="false">COUNTIF(AI_vs_Human!$C$2:$C$31,B11)</f>
        <v>1</v>
      </c>
    </row>
    <row r="12" customFormat="false" ht="15" hidden="false" customHeight="false" outlineLevel="0" collapsed="false">
      <c r="B12" s="0" t="s">
        <v>10</v>
      </c>
      <c r="C12" s="0" t="n">
        <f aca="false">COUNTIF(AI_vs_Human!$C$2:$C$31,B12)</f>
        <v>1</v>
      </c>
    </row>
    <row r="13" customFormat="false" ht="15" hidden="false" customHeight="false" outlineLevel="0" collapsed="false">
      <c r="B13" s="0" t="s">
        <v>11</v>
      </c>
      <c r="C13" s="0" t="n">
        <f aca="false">COUNTIF(AI_vs_Human!$C$2:$C$31,B13)</f>
        <v>1</v>
      </c>
    </row>
    <row r="14" customFormat="false" ht="15" hidden="false" customHeight="false" outlineLevel="0" collapsed="false">
      <c r="B14" s="0" t="s">
        <v>12</v>
      </c>
      <c r="C14" s="0" t="n">
        <f aca="false">COUNTIF(AI_vs_Human!$C$2:$C$31,B14)</f>
        <v>1</v>
      </c>
    </row>
    <row r="15" customFormat="false" ht="15" hidden="false" customHeight="false" outlineLevel="0" collapsed="false">
      <c r="B15" s="0" t="s">
        <v>13</v>
      </c>
      <c r="C15" s="0" t="n">
        <f aca="false">COUNTIF(AI_vs_Human!$C$2:$C$31,B15)</f>
        <v>1</v>
      </c>
    </row>
    <row r="16" customFormat="false" ht="15" hidden="false" customHeight="false" outlineLevel="0" collapsed="false">
      <c r="B16" s="0" t="s">
        <v>14</v>
      </c>
      <c r="C16" s="0" t="n">
        <f aca="false">COUNTIF(AI_vs_Human!$C$2:$C$31,B16)</f>
        <v>1</v>
      </c>
    </row>
    <row r="17" customFormat="false" ht="15" hidden="false" customHeight="false" outlineLevel="0" collapsed="false">
      <c r="B17" s="0" t="s">
        <v>15</v>
      </c>
      <c r="C17" s="0" t="n">
        <f aca="false">COUNTIF(AI_vs_Human!$C$2:$C$31,B17)</f>
        <v>2</v>
      </c>
    </row>
    <row r="18" customFormat="false" ht="15" hidden="false" customHeight="false" outlineLevel="0" collapsed="false">
      <c r="B18" s="0" t="s">
        <v>16</v>
      </c>
      <c r="C18" s="0" t="n">
        <f aca="false">COUNTIF(AI_vs_Human!$C$2:$C$31,B18)</f>
        <v>1</v>
      </c>
    </row>
    <row r="19" customFormat="false" ht="15" hidden="false" customHeight="false" outlineLevel="0" collapsed="false">
      <c r="B19" s="0" t="s">
        <v>17</v>
      </c>
      <c r="C19" s="0" t="n">
        <f aca="false">COUNTIF(AI_vs_Human!$C$2:$C$31,B19)</f>
        <v>1</v>
      </c>
    </row>
    <row r="20" customFormat="false" ht="15" hidden="false" customHeight="false" outlineLevel="0" collapsed="false">
      <c r="B20" s="0" t="s">
        <v>18</v>
      </c>
      <c r="C20" s="0" t="n">
        <f aca="false">COUNTIF(AI_vs_Human!$C$2:$C$31,B20)</f>
        <v>1</v>
      </c>
    </row>
    <row r="21" customFormat="false" ht="15" hidden="false" customHeight="false" outlineLevel="0" collapsed="false">
      <c r="B21" s="0" t="s">
        <v>19</v>
      </c>
      <c r="C21" s="0" t="n">
        <f aca="false">COUNTIF(AI_vs_Human!$C$2:$C$31,B21)</f>
        <v>1</v>
      </c>
    </row>
    <row r="22" customFormat="false" ht="15" hidden="false" customHeight="false" outlineLevel="0" collapsed="false">
      <c r="B22" s="0" t="s">
        <v>20</v>
      </c>
      <c r="C22" s="0" t="n">
        <f aca="false">COUNTIF(AI_vs_Human!$C$2:$C$31,B22)</f>
        <v>1</v>
      </c>
    </row>
    <row r="23" customFormat="false" ht="15" hidden="false" customHeight="false" outlineLevel="0" collapsed="false">
      <c r="B23" s="0" t="s">
        <v>21</v>
      </c>
      <c r="C23" s="0" t="n">
        <f aca="false">COUNTIF(AI_vs_Human!$C$2:$C$31,B23)</f>
        <v>1</v>
      </c>
      <c r="N23" s="0" t="s">
        <v>22</v>
      </c>
      <c r="O23" s="0" t="n">
        <f aca="false">D5</f>
        <v>22</v>
      </c>
    </row>
    <row r="24" customFormat="false" ht="15" hidden="false" customHeight="false" outlineLevel="0" collapsed="false">
      <c r="B24" s="0" t="s">
        <v>23</v>
      </c>
      <c r="C24" s="0" t="n">
        <f aca="false">COUNTIF(AI_vs_Human!$C$2:$C$31,B24)</f>
        <v>1</v>
      </c>
      <c r="N24" s="0" t="s">
        <v>24</v>
      </c>
      <c r="O24" s="0" t="n">
        <f aca="false">F5</f>
        <v>8</v>
      </c>
    </row>
    <row r="25" customFormat="false" ht="15" hidden="false" customHeight="false" outlineLevel="0" collapsed="false">
      <c r="B25" s="0" t="s">
        <v>25</v>
      </c>
      <c r="C25" s="0" t="n">
        <f aca="false">COUNTIF(AI_vs_Human!$C$2:$C$31,B25)</f>
        <v>2</v>
      </c>
    </row>
    <row r="26" customFormat="false" ht="15" hidden="false" customHeight="false" outlineLevel="0" collapsed="false">
      <c r="B26" s="0" t="s">
        <v>26</v>
      </c>
      <c r="C26" s="0" t="n">
        <f aca="false">COUNTIF(AI_vs_Human!$C$2:$C$31,B26)</f>
        <v>1</v>
      </c>
    </row>
    <row r="27" customFormat="false" ht="15" hidden="false" customHeight="false" outlineLevel="0" collapsed="false">
      <c r="B27" s="0" t="s">
        <v>27</v>
      </c>
      <c r="C27" s="0" t="n">
        <f aca="false">COUNTIF(AI_vs_Human!$C$2:$C$31,B27)</f>
        <v>1</v>
      </c>
    </row>
    <row r="28" customFormat="false" ht="15" hidden="false" customHeight="false" outlineLevel="0" collapsed="false">
      <c r="B28" s="0" t="s">
        <v>28</v>
      </c>
      <c r="C28" s="0" t="n">
        <f aca="false">COUNTIF(AI_vs_Human!$C$2:$C$31,B28)</f>
        <v>1</v>
      </c>
    </row>
    <row r="29" customFormat="false" ht="15" hidden="false" customHeight="false" outlineLevel="0" collapsed="false">
      <c r="B29" s="0" t="s">
        <v>29</v>
      </c>
      <c r="C29" s="0" t="n">
        <f aca="false">COUNTIF(AI_vs_Human!$C$2:$C$31,B29)</f>
        <v>1</v>
      </c>
    </row>
    <row r="30" customFormat="false" ht="15" hidden="false" customHeight="false" outlineLevel="0" collapsed="false">
      <c r="B30" s="0" t="s">
        <v>30</v>
      </c>
      <c r="C30" s="0" t="n">
        <f aca="false">COUNTIF(AI_vs_Human!$C$2:$C$31,B30)</f>
        <v>2</v>
      </c>
    </row>
    <row r="31" customFormat="false" ht="15" hidden="false" customHeight="false" outlineLevel="0" collapsed="false">
      <c r="B31" s="0" t="s">
        <v>31</v>
      </c>
      <c r="C31" s="0" t="n">
        <f aca="false">COUNTIF(AI_vs_Human!$C$2:$C$31,B31)</f>
        <v>1</v>
      </c>
    </row>
    <row r="32" customFormat="false" ht="15" hidden="false" customHeight="false" outlineLevel="0" collapsed="false">
      <c r="B32" s="0" t="s">
        <v>32</v>
      </c>
      <c r="C32" s="0" t="n">
        <f aca="false">COUNTIF(AI_vs_Human!$C$2:$C$31,B32)</f>
        <v>1</v>
      </c>
    </row>
    <row r="33" customFormat="false" ht="15" hidden="false" customHeight="false" outlineLevel="0" collapsed="false">
      <c r="B33" s="0" t="s">
        <v>33</v>
      </c>
      <c r="C33" s="0" t="n">
        <f aca="false">COUNTIF(AI_vs_Human!$C$2:$C$31,B33)</f>
        <v>1</v>
      </c>
    </row>
    <row r="34" customFormat="false" ht="15" hidden="false" customHeight="false" outlineLevel="0" collapsed="false">
      <c r="B34" s="0" t="s">
        <v>34</v>
      </c>
      <c r="C34" s="0" t="n">
        <f aca="false">COUNTIF(AI_vs_Human!$C$2:$C$31,B34)</f>
        <v>2</v>
      </c>
    </row>
    <row r="35" customFormat="false" ht="15" hidden="false" customHeight="false" outlineLevel="0" collapsed="false">
      <c r="B35" s="0" t="s">
        <v>35</v>
      </c>
      <c r="C35" s="0" t="n">
        <f aca="false">COUNTIF(AI_vs_Human!$C$2:$C$31,B35)</f>
        <v>1</v>
      </c>
    </row>
    <row r="36" customFormat="false" ht="15" hidden="false" customHeight="false" outlineLevel="0" collapsed="false">
      <c r="B36" s="0" t="s">
        <v>36</v>
      </c>
      <c r="C36" s="0" t="n">
        <f aca="false">COUNTIF(AI_vs_Human!$C$2:$C$31,B36)</f>
        <v>1</v>
      </c>
    </row>
    <row r="39" customFormat="false" ht="15" hidden="false" customHeight="false" outlineLevel="0" collapsed="false">
      <c r="B39" s="6" t="s">
        <v>37</v>
      </c>
    </row>
    <row r="40" customFormat="false" ht="15" hidden="false" customHeight="false" outlineLevel="0" collapsed="false">
      <c r="B40" s="7" t="s">
        <v>38</v>
      </c>
      <c r="C40" s="7" t="s">
        <v>8</v>
      </c>
    </row>
    <row r="41" customFormat="false" ht="15" hidden="false" customHeight="false" outlineLevel="0" collapsed="false">
      <c r="B41" s="0" t="s">
        <v>39</v>
      </c>
      <c r="C41" s="0" t="n">
        <f aca="false">COUNTIF(AI_vs_Human!$D$2:$D$31,B41)</f>
        <v>13</v>
      </c>
    </row>
    <row r="42" customFormat="false" ht="15" hidden="false" customHeight="false" outlineLevel="0" collapsed="false">
      <c r="B42" s="0" t="s">
        <v>40</v>
      </c>
      <c r="C42" s="0" t="n">
        <f aca="false">COUNTIF(AI_vs_Human!$D$2:$D$31,B42)</f>
        <v>9</v>
      </c>
    </row>
    <row r="43" customFormat="false" ht="15" hidden="false" customHeight="false" outlineLevel="0" collapsed="false">
      <c r="B43" s="0" t="s">
        <v>41</v>
      </c>
      <c r="C43" s="0" t="n">
        <f aca="false">COUNTIF(AI_vs_Human!$D$2:$D$31,B43)</f>
        <v>0</v>
      </c>
    </row>
    <row r="44" customFormat="false" ht="15" hidden="false" customHeight="false" outlineLevel="0" collapsed="false">
      <c r="B44" s="0" t="s">
        <v>42</v>
      </c>
      <c r="C44" s="0" t="n">
        <f aca="false">COUNTIF(AI_vs_Human!$D$2:$D$31,B44)</f>
        <v>8</v>
      </c>
    </row>
    <row r="47" customFormat="false" ht="15" hidden="false" customHeight="false" outlineLevel="0" collapsed="false">
      <c r="B47" s="6" t="s">
        <v>43</v>
      </c>
    </row>
    <row r="48" customFormat="false" ht="15" hidden="false" customHeight="false" outlineLevel="0" collapsed="false">
      <c r="B48" s="7" t="s">
        <v>44</v>
      </c>
      <c r="C48" s="7" t="s">
        <v>8</v>
      </c>
    </row>
    <row r="49" customFormat="false" ht="15" hidden="false" customHeight="false" outlineLevel="0" collapsed="false">
      <c r="B49" s="0" t="s">
        <v>45</v>
      </c>
      <c r="C49" s="0" t="n">
        <f aca="false">COUNTIF(AI_vs_Human!$I$2:$I$31,B49)</f>
        <v>17</v>
      </c>
    </row>
    <row r="50" customFormat="false" ht="15" hidden="false" customHeight="false" outlineLevel="0" collapsed="false">
      <c r="B50" s="0" t="s">
        <v>46</v>
      </c>
      <c r="C50" s="0" t="n">
        <f aca="false">COUNTIF(AI_vs_Human!$I$2:$I$31,B50)</f>
        <v>4</v>
      </c>
    </row>
    <row r="51" customFormat="false" ht="15" hidden="false" customHeight="false" outlineLevel="0" collapsed="false">
      <c r="B51" s="0" t="s">
        <v>47</v>
      </c>
      <c r="C51" s="0" t="n">
        <f aca="false">COUNTIF(AI_vs_Human!$I$2:$I$31,B51)</f>
        <v>1</v>
      </c>
    </row>
    <row r="52" customFormat="false" ht="15" hidden="false" customHeight="false" outlineLevel="0" collapsed="false">
      <c r="B52" s="0" t="s">
        <v>48</v>
      </c>
      <c r="C52" s="0" t="n">
        <f aca="false">COUNTIF(AI_vs_Human!$I$2:$I$31,B52)</f>
        <v>8</v>
      </c>
    </row>
    <row r="55" customFormat="false" ht="15" hidden="false" customHeight="false" outlineLevel="0" collapsed="false">
      <c r="B55" s="6" t="s">
        <v>49</v>
      </c>
    </row>
    <row r="56" customFormat="false" ht="15" hidden="false" customHeight="false" outlineLevel="0" collapsed="false">
      <c r="B56" s="8" t="s">
        <v>50</v>
      </c>
      <c r="C56" s="9" t="n">
        <f aca="false">COUNTIF(AI_vs_Human!$B$2:$B$31,"Complete")</f>
        <v>22</v>
      </c>
    </row>
    <row r="57" customFormat="false" ht="15" hidden="false" customHeight="false" outlineLevel="0" collapsed="false">
      <c r="B57" s="8" t="s">
        <v>51</v>
      </c>
      <c r="C57" s="9" t="n">
        <f aca="false">COUNTIF(Rule_Checker!$E$2:$E$31,"&gt;0")</f>
        <v>0</v>
      </c>
    </row>
    <row r="58" customFormat="false" ht="15" hidden="false" customHeight="false" outlineLevel="0" collapsed="false">
      <c r="B58" s="8" t="s">
        <v>52</v>
      </c>
      <c r="C58" s="10" t="n">
        <f aca="false">C57/C56</f>
        <v>0</v>
      </c>
    </row>
  </sheetData>
  <mergeCells count="4">
    <mergeCell ref="B5:C5"/>
    <mergeCell ref="D5:E5"/>
    <mergeCell ref="F5:G5"/>
    <mergeCell ref="H5:I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0"/>
    <col collapsed="false" customWidth="true" hidden="false" outlineLevel="0" max="3" min="3" style="0" width="16"/>
    <col collapsed="false" customWidth="true" hidden="false" outlineLevel="0" max="4" min="4" style="0" width="12"/>
    <col collapsed="false" customWidth="true" hidden="false" outlineLevel="0" max="5" min="5" style="0" width="38"/>
    <col collapsed="false" customWidth="true" hidden="false" outlineLevel="0" max="6" min="6" style="0" width="30"/>
    <col collapsed="false" customWidth="true" hidden="false" outlineLevel="0" max="8" min="7" style="0" width="34"/>
    <col collapsed="false" customWidth="true" hidden="false" outlineLevel="0" max="9" min="9" style="0" width="18"/>
    <col collapsed="false" customWidth="true" hidden="false" outlineLevel="0" max="10" min="10" style="0" width="20"/>
    <col collapsed="false" customWidth="true" hidden="false" outlineLevel="0" max="11" min="11" style="0" width="9"/>
  </cols>
  <sheetData>
    <row r="1" customFormat="false" ht="26.85" hidden="false" customHeight="false" outlineLevel="0" collapsed="false">
      <c r="A1" s="11" t="s">
        <v>53</v>
      </c>
      <c r="B1" s="11" t="s">
        <v>54</v>
      </c>
      <c r="C1" s="11" t="s">
        <v>55</v>
      </c>
      <c r="D1" s="11" t="s">
        <v>56</v>
      </c>
      <c r="E1" s="11" t="s">
        <v>57</v>
      </c>
      <c r="F1" s="11" t="s">
        <v>58</v>
      </c>
      <c r="G1" s="11" t="s">
        <v>59</v>
      </c>
      <c r="H1" s="11" t="s">
        <v>60</v>
      </c>
      <c r="I1" s="11" t="s">
        <v>61</v>
      </c>
      <c r="J1" s="11" t="s">
        <v>62</v>
      </c>
      <c r="K1" s="11" t="s">
        <v>63</v>
      </c>
    </row>
    <row r="2" customFormat="false" ht="26.85" hidden="false" customHeight="false" outlineLevel="0" collapsed="false">
      <c r="A2" s="12" t="s">
        <v>64</v>
      </c>
      <c r="B2" s="12" t="s">
        <v>65</v>
      </c>
      <c r="C2" s="12"/>
      <c r="D2" s="12" t="s">
        <v>24</v>
      </c>
      <c r="E2" s="12" t="s">
        <v>66</v>
      </c>
      <c r="F2" s="12"/>
      <c r="G2" s="12"/>
      <c r="H2" s="12"/>
      <c r="I2" s="12"/>
      <c r="J2" s="12" t="s">
        <v>15</v>
      </c>
      <c r="K2" s="12" t="s">
        <v>42</v>
      </c>
    </row>
    <row r="3" customFormat="false" ht="128.35" hidden="false" customHeight="false" outlineLevel="0" collapsed="false">
      <c r="A3" s="12" t="s">
        <v>67</v>
      </c>
      <c r="B3" s="12" t="s">
        <v>68</v>
      </c>
      <c r="C3" s="12" t="s">
        <v>69</v>
      </c>
      <c r="D3" s="12" t="s">
        <v>22</v>
      </c>
      <c r="E3" s="12" t="s">
        <v>70</v>
      </c>
      <c r="F3" s="12" t="s">
        <v>71</v>
      </c>
      <c r="G3" s="12" t="s">
        <v>72</v>
      </c>
      <c r="H3" s="12" t="s">
        <v>73</v>
      </c>
      <c r="I3" s="12" t="s">
        <v>74</v>
      </c>
      <c r="J3" s="12" t="s">
        <v>14</v>
      </c>
      <c r="K3" s="12" t="s">
        <v>39</v>
      </c>
    </row>
    <row r="4" customFormat="false" ht="26.85" hidden="false" customHeight="false" outlineLevel="0" collapsed="false">
      <c r="A4" s="12" t="s">
        <v>75</v>
      </c>
      <c r="B4" s="12" t="s">
        <v>76</v>
      </c>
      <c r="C4" s="12"/>
      <c r="D4" s="12" t="s">
        <v>24</v>
      </c>
      <c r="E4" s="12" t="s">
        <v>77</v>
      </c>
      <c r="F4" s="12"/>
      <c r="G4" s="12"/>
      <c r="H4" s="12"/>
      <c r="I4" s="12"/>
      <c r="J4" s="12" t="s">
        <v>19</v>
      </c>
      <c r="K4" s="12" t="s">
        <v>42</v>
      </c>
    </row>
    <row r="5" customFormat="false" ht="102.95" hidden="false" customHeight="false" outlineLevel="0" collapsed="false">
      <c r="A5" s="12" t="s">
        <v>78</v>
      </c>
      <c r="B5" s="12" t="s">
        <v>79</v>
      </c>
      <c r="C5" s="12" t="s">
        <v>80</v>
      </c>
      <c r="D5" s="12" t="s">
        <v>22</v>
      </c>
      <c r="E5" s="12" t="s">
        <v>81</v>
      </c>
      <c r="F5" s="12" t="s">
        <v>82</v>
      </c>
      <c r="G5" s="12" t="s">
        <v>83</v>
      </c>
      <c r="H5" s="12" t="s">
        <v>84</v>
      </c>
      <c r="I5" s="12" t="s">
        <v>85</v>
      </c>
      <c r="J5" s="12" t="s">
        <v>9</v>
      </c>
      <c r="K5" s="12" t="s">
        <v>39</v>
      </c>
    </row>
    <row r="6" customFormat="false" ht="115.65" hidden="false" customHeight="false" outlineLevel="0" collapsed="false">
      <c r="A6" s="12" t="s">
        <v>86</v>
      </c>
      <c r="B6" s="12" t="s">
        <v>87</v>
      </c>
      <c r="C6" s="12" t="s">
        <v>88</v>
      </c>
      <c r="D6" s="12" t="s">
        <v>22</v>
      </c>
      <c r="E6" s="12" t="s">
        <v>89</v>
      </c>
      <c r="F6" s="12" t="s">
        <v>90</v>
      </c>
      <c r="G6" s="12" t="s">
        <v>91</v>
      </c>
      <c r="H6" s="12" t="s">
        <v>92</v>
      </c>
      <c r="I6" s="12" t="s">
        <v>93</v>
      </c>
      <c r="J6" s="12" t="s">
        <v>32</v>
      </c>
      <c r="K6" s="12" t="s">
        <v>40</v>
      </c>
    </row>
    <row r="7" customFormat="false" ht="102.95" hidden="false" customHeight="false" outlineLevel="0" collapsed="false">
      <c r="A7" s="12" t="s">
        <v>94</v>
      </c>
      <c r="B7" s="12" t="s">
        <v>95</v>
      </c>
      <c r="C7" s="12" t="s">
        <v>96</v>
      </c>
      <c r="D7" s="12" t="s">
        <v>22</v>
      </c>
      <c r="E7" s="12" t="s">
        <v>97</v>
      </c>
      <c r="F7" s="12" t="s">
        <v>98</v>
      </c>
      <c r="G7" s="12" t="s">
        <v>99</v>
      </c>
      <c r="H7" s="12" t="s">
        <v>100</v>
      </c>
      <c r="I7" s="12" t="s">
        <v>101</v>
      </c>
      <c r="J7" s="12" t="s">
        <v>16</v>
      </c>
      <c r="K7" s="12" t="s">
        <v>40</v>
      </c>
    </row>
    <row r="8" customFormat="false" ht="77.6" hidden="false" customHeight="false" outlineLevel="0" collapsed="false">
      <c r="A8" s="12" t="s">
        <v>102</v>
      </c>
      <c r="B8" s="12" t="s">
        <v>103</v>
      </c>
      <c r="C8" s="12" t="s">
        <v>104</v>
      </c>
      <c r="D8" s="12" t="s">
        <v>22</v>
      </c>
      <c r="E8" s="12" t="s">
        <v>105</v>
      </c>
      <c r="F8" s="12" t="s">
        <v>106</v>
      </c>
      <c r="G8" s="12" t="s">
        <v>107</v>
      </c>
      <c r="H8" s="12" t="s">
        <v>108</v>
      </c>
      <c r="I8" s="12" t="s">
        <v>101</v>
      </c>
      <c r="J8" s="12" t="s">
        <v>20</v>
      </c>
      <c r="K8" s="12" t="s">
        <v>39</v>
      </c>
    </row>
    <row r="9" customFormat="false" ht="90.25" hidden="false" customHeight="false" outlineLevel="0" collapsed="false">
      <c r="A9" s="12" t="s">
        <v>109</v>
      </c>
      <c r="B9" s="12" t="s">
        <v>110</v>
      </c>
      <c r="C9" s="12" t="s">
        <v>111</v>
      </c>
      <c r="D9" s="12" t="s">
        <v>22</v>
      </c>
      <c r="E9" s="12" t="s">
        <v>112</v>
      </c>
      <c r="F9" s="12" t="s">
        <v>113</v>
      </c>
      <c r="G9" s="12" t="s">
        <v>114</v>
      </c>
      <c r="H9" s="12" t="s">
        <v>115</v>
      </c>
      <c r="I9" s="12" t="s">
        <v>101</v>
      </c>
      <c r="J9" s="12" t="s">
        <v>30</v>
      </c>
      <c r="K9" s="12" t="s">
        <v>39</v>
      </c>
    </row>
    <row r="10" customFormat="false" ht="90.25" hidden="false" customHeight="false" outlineLevel="0" collapsed="false">
      <c r="A10" s="12" t="s">
        <v>116</v>
      </c>
      <c r="B10" s="12" t="s">
        <v>117</v>
      </c>
      <c r="C10" s="12" t="s">
        <v>118</v>
      </c>
      <c r="D10" s="12" t="s">
        <v>22</v>
      </c>
      <c r="E10" s="12" t="s">
        <v>119</v>
      </c>
      <c r="F10" s="12" t="s">
        <v>120</v>
      </c>
      <c r="G10" s="12" t="s">
        <v>121</v>
      </c>
      <c r="H10" s="12" t="s">
        <v>122</v>
      </c>
      <c r="I10" s="12" t="s">
        <v>93</v>
      </c>
      <c r="J10" s="12" t="s">
        <v>29</v>
      </c>
      <c r="K10" s="12" t="s">
        <v>39</v>
      </c>
    </row>
    <row r="11" customFormat="false" ht="90.25" hidden="false" customHeight="false" outlineLevel="0" collapsed="false">
      <c r="A11" s="12" t="s">
        <v>123</v>
      </c>
      <c r="B11" s="12" t="s">
        <v>124</v>
      </c>
      <c r="C11" s="12" t="s">
        <v>125</v>
      </c>
      <c r="D11" s="12" t="s">
        <v>22</v>
      </c>
      <c r="E11" s="12" t="s">
        <v>126</v>
      </c>
      <c r="F11" s="12" t="s">
        <v>127</v>
      </c>
      <c r="G11" s="12" t="s">
        <v>128</v>
      </c>
      <c r="H11" s="12" t="s">
        <v>129</v>
      </c>
      <c r="I11" s="12" t="s">
        <v>93</v>
      </c>
      <c r="J11" s="12" t="s">
        <v>34</v>
      </c>
      <c r="K11" s="12" t="s">
        <v>39</v>
      </c>
    </row>
    <row r="12" customFormat="false" ht="77.6" hidden="false" customHeight="false" outlineLevel="0" collapsed="false">
      <c r="A12" s="12" t="s">
        <v>130</v>
      </c>
      <c r="B12" s="12" t="s">
        <v>131</v>
      </c>
      <c r="C12" s="12" t="s">
        <v>132</v>
      </c>
      <c r="D12" s="12" t="s">
        <v>22</v>
      </c>
      <c r="E12" s="12" t="s">
        <v>133</v>
      </c>
      <c r="F12" s="12" t="s">
        <v>134</v>
      </c>
      <c r="G12" s="12" t="s">
        <v>135</v>
      </c>
      <c r="H12" s="12" t="s">
        <v>136</v>
      </c>
      <c r="I12" s="12" t="s">
        <v>93</v>
      </c>
      <c r="J12" s="12" t="s">
        <v>28</v>
      </c>
      <c r="K12" s="12" t="s">
        <v>40</v>
      </c>
    </row>
    <row r="13" customFormat="false" ht="77.6" hidden="false" customHeight="false" outlineLevel="0" collapsed="false">
      <c r="A13" s="12" t="s">
        <v>137</v>
      </c>
      <c r="B13" s="12" t="s">
        <v>138</v>
      </c>
      <c r="C13" s="12" t="s">
        <v>139</v>
      </c>
      <c r="D13" s="12" t="s">
        <v>22</v>
      </c>
      <c r="E13" s="12" t="s">
        <v>140</v>
      </c>
      <c r="F13" s="12" t="s">
        <v>141</v>
      </c>
      <c r="G13" s="12" t="s">
        <v>142</v>
      </c>
      <c r="H13" s="12" t="s">
        <v>143</v>
      </c>
      <c r="I13" s="12" t="s">
        <v>93</v>
      </c>
      <c r="J13" s="12" t="s">
        <v>31</v>
      </c>
      <c r="K13" s="12" t="s">
        <v>40</v>
      </c>
    </row>
    <row r="14" customFormat="false" ht="90.25" hidden="false" customHeight="false" outlineLevel="0" collapsed="false">
      <c r="A14" s="12" t="s">
        <v>144</v>
      </c>
      <c r="B14" s="12" t="s">
        <v>145</v>
      </c>
      <c r="C14" s="12" t="s">
        <v>146</v>
      </c>
      <c r="D14" s="12" t="s">
        <v>22</v>
      </c>
      <c r="E14" s="12" t="s">
        <v>147</v>
      </c>
      <c r="F14" s="12" t="s">
        <v>148</v>
      </c>
      <c r="G14" s="12" t="s">
        <v>149</v>
      </c>
      <c r="H14" s="12" t="s">
        <v>150</v>
      </c>
      <c r="I14" s="12" t="s">
        <v>74</v>
      </c>
      <c r="J14" s="12" t="s">
        <v>35</v>
      </c>
      <c r="K14" s="12" t="s">
        <v>40</v>
      </c>
    </row>
    <row r="15" customFormat="false" ht="90.25" hidden="false" customHeight="false" outlineLevel="0" collapsed="false">
      <c r="A15" s="12" t="s">
        <v>151</v>
      </c>
      <c r="B15" s="12" t="s">
        <v>152</v>
      </c>
      <c r="C15" s="12" t="s">
        <v>153</v>
      </c>
      <c r="D15" s="12" t="s">
        <v>22</v>
      </c>
      <c r="E15" s="12" t="s">
        <v>154</v>
      </c>
      <c r="F15" s="12" t="s">
        <v>155</v>
      </c>
      <c r="G15" s="12" t="s">
        <v>156</v>
      </c>
      <c r="H15" s="12" t="s">
        <v>157</v>
      </c>
      <c r="I15" s="12" t="s">
        <v>101</v>
      </c>
      <c r="J15" s="12" t="s">
        <v>27</v>
      </c>
      <c r="K15" s="12" t="s">
        <v>39</v>
      </c>
    </row>
    <row r="16" customFormat="false" ht="26.85" hidden="false" customHeight="false" outlineLevel="0" collapsed="false">
      <c r="A16" s="12" t="s">
        <v>158</v>
      </c>
      <c r="B16" s="12" t="s">
        <v>159</v>
      </c>
      <c r="C16" s="12"/>
      <c r="D16" s="12" t="s">
        <v>24</v>
      </c>
      <c r="E16" s="12" t="s">
        <v>160</v>
      </c>
      <c r="F16" s="12"/>
      <c r="G16" s="12"/>
      <c r="H16" s="12"/>
      <c r="I16" s="12"/>
      <c r="J16" s="12" t="s">
        <v>18</v>
      </c>
      <c r="K16" s="12" t="s">
        <v>42</v>
      </c>
    </row>
    <row r="17" customFormat="false" ht="26.85" hidden="false" customHeight="false" outlineLevel="0" collapsed="false">
      <c r="A17" s="12" t="s">
        <v>161</v>
      </c>
      <c r="B17" s="12" t="s">
        <v>162</v>
      </c>
      <c r="C17" s="12"/>
      <c r="D17" s="12" t="s">
        <v>24</v>
      </c>
      <c r="E17" s="12" t="s">
        <v>163</v>
      </c>
      <c r="F17" s="12"/>
      <c r="G17" s="12"/>
      <c r="H17" s="12"/>
      <c r="I17" s="12"/>
      <c r="J17" s="12" t="s">
        <v>33</v>
      </c>
      <c r="K17" s="12" t="s">
        <v>42</v>
      </c>
    </row>
    <row r="18" customFormat="false" ht="26.85" hidden="false" customHeight="false" outlineLevel="0" collapsed="false">
      <c r="A18" s="12" t="s">
        <v>164</v>
      </c>
      <c r="B18" s="12" t="s">
        <v>165</v>
      </c>
      <c r="C18" s="12"/>
      <c r="D18" s="12" t="s">
        <v>24</v>
      </c>
      <c r="E18" s="12" t="s">
        <v>166</v>
      </c>
      <c r="F18" s="12"/>
      <c r="G18" s="12"/>
      <c r="H18" s="12"/>
      <c r="I18" s="12"/>
      <c r="J18" s="12" t="s">
        <v>12</v>
      </c>
      <c r="K18" s="12" t="s">
        <v>42</v>
      </c>
    </row>
    <row r="19" customFormat="false" ht="26.85" hidden="false" customHeight="false" outlineLevel="0" collapsed="false">
      <c r="A19" s="12" t="s">
        <v>167</v>
      </c>
      <c r="B19" s="12" t="s">
        <v>168</v>
      </c>
      <c r="C19" s="12"/>
      <c r="D19" s="12" t="s">
        <v>24</v>
      </c>
      <c r="E19" s="12" t="s">
        <v>169</v>
      </c>
      <c r="F19" s="12"/>
      <c r="G19" s="12"/>
      <c r="H19" s="12"/>
      <c r="I19" s="12"/>
      <c r="J19" s="12" t="s">
        <v>15</v>
      </c>
      <c r="K19" s="12" t="s">
        <v>42</v>
      </c>
    </row>
    <row r="20" customFormat="false" ht="64.9" hidden="false" customHeight="false" outlineLevel="0" collapsed="false">
      <c r="A20" s="12" t="s">
        <v>170</v>
      </c>
      <c r="B20" s="12" t="s">
        <v>171</v>
      </c>
      <c r="C20" s="12" t="s">
        <v>172</v>
      </c>
      <c r="D20" s="12" t="s">
        <v>22</v>
      </c>
      <c r="E20" s="12" t="s">
        <v>173</v>
      </c>
      <c r="F20" s="12" t="s">
        <v>174</v>
      </c>
      <c r="G20" s="12" t="s">
        <v>175</v>
      </c>
      <c r="H20" s="12" t="s">
        <v>176</v>
      </c>
      <c r="I20" s="12" t="s">
        <v>101</v>
      </c>
      <c r="J20" s="12" t="s">
        <v>25</v>
      </c>
      <c r="K20" s="12" t="s">
        <v>39</v>
      </c>
    </row>
    <row r="21" customFormat="false" ht="64.9" hidden="false" customHeight="false" outlineLevel="0" collapsed="false">
      <c r="A21" s="12" t="s">
        <v>177</v>
      </c>
      <c r="B21" s="12" t="s">
        <v>178</v>
      </c>
      <c r="C21" s="12" t="s">
        <v>179</v>
      </c>
      <c r="D21" s="12" t="s">
        <v>22</v>
      </c>
      <c r="E21" s="12" t="s">
        <v>180</v>
      </c>
      <c r="F21" s="12" t="s">
        <v>181</v>
      </c>
      <c r="G21" s="12" t="s">
        <v>182</v>
      </c>
      <c r="H21" s="12" t="s">
        <v>183</v>
      </c>
      <c r="I21" s="12" t="s">
        <v>101</v>
      </c>
      <c r="J21" s="12" t="s">
        <v>25</v>
      </c>
      <c r="K21" s="12" t="s">
        <v>39</v>
      </c>
    </row>
    <row r="22" customFormat="false" ht="64.9" hidden="false" customHeight="false" outlineLevel="0" collapsed="false">
      <c r="A22" s="12" t="s">
        <v>184</v>
      </c>
      <c r="B22" s="12" t="s">
        <v>185</v>
      </c>
      <c r="C22" s="12" t="s">
        <v>186</v>
      </c>
      <c r="D22" s="12" t="s">
        <v>22</v>
      </c>
      <c r="E22" s="12" t="s">
        <v>187</v>
      </c>
      <c r="F22" s="12" t="s">
        <v>188</v>
      </c>
      <c r="G22" s="12" t="s">
        <v>189</v>
      </c>
      <c r="H22" s="12" t="s">
        <v>190</v>
      </c>
      <c r="I22" s="12" t="s">
        <v>101</v>
      </c>
      <c r="J22" s="12" t="s">
        <v>36</v>
      </c>
      <c r="K22" s="12" t="s">
        <v>40</v>
      </c>
    </row>
    <row r="23" customFormat="false" ht="90.25" hidden="false" customHeight="false" outlineLevel="0" collapsed="false">
      <c r="A23" s="12" t="s">
        <v>191</v>
      </c>
      <c r="B23" s="12" t="s">
        <v>192</v>
      </c>
      <c r="C23" s="12" t="s">
        <v>193</v>
      </c>
      <c r="D23" s="12" t="s">
        <v>22</v>
      </c>
      <c r="E23" s="12" t="s">
        <v>194</v>
      </c>
      <c r="F23" s="12" t="s">
        <v>195</v>
      </c>
      <c r="G23" s="12" t="s">
        <v>196</v>
      </c>
      <c r="H23" s="12" t="s">
        <v>197</v>
      </c>
      <c r="I23" s="12" t="s">
        <v>101</v>
      </c>
      <c r="J23" s="12" t="s">
        <v>30</v>
      </c>
      <c r="K23" s="12" t="s">
        <v>39</v>
      </c>
    </row>
    <row r="24" customFormat="false" ht="52.2" hidden="false" customHeight="false" outlineLevel="0" collapsed="false">
      <c r="A24" s="12" t="s">
        <v>198</v>
      </c>
      <c r="B24" s="12" t="s">
        <v>199</v>
      </c>
      <c r="C24" s="12" t="s">
        <v>200</v>
      </c>
      <c r="D24" s="12" t="s">
        <v>22</v>
      </c>
      <c r="E24" s="12" t="s">
        <v>201</v>
      </c>
      <c r="F24" s="12" t="s">
        <v>202</v>
      </c>
      <c r="G24" s="12" t="s">
        <v>203</v>
      </c>
      <c r="H24" s="12" t="s">
        <v>204</v>
      </c>
      <c r="I24" s="12" t="s">
        <v>93</v>
      </c>
      <c r="J24" s="12" t="s">
        <v>34</v>
      </c>
      <c r="K24" s="12" t="s">
        <v>39</v>
      </c>
    </row>
    <row r="25" customFormat="false" ht="64.9" hidden="false" customHeight="false" outlineLevel="0" collapsed="false">
      <c r="A25" s="12" t="s">
        <v>205</v>
      </c>
      <c r="B25" s="12" t="s">
        <v>206</v>
      </c>
      <c r="C25" s="12" t="s">
        <v>207</v>
      </c>
      <c r="D25" s="12" t="s">
        <v>22</v>
      </c>
      <c r="E25" s="12" t="s">
        <v>208</v>
      </c>
      <c r="F25" s="12" t="s">
        <v>209</v>
      </c>
      <c r="G25" s="12" t="s">
        <v>210</v>
      </c>
      <c r="H25" s="12" t="s">
        <v>211</v>
      </c>
      <c r="I25" s="12" t="s">
        <v>212</v>
      </c>
      <c r="J25" s="12" t="s">
        <v>23</v>
      </c>
      <c r="K25" s="12" t="s">
        <v>39</v>
      </c>
    </row>
    <row r="26" customFormat="false" ht="77.6" hidden="false" customHeight="false" outlineLevel="0" collapsed="false">
      <c r="A26" s="12" t="s">
        <v>213</v>
      </c>
      <c r="B26" s="12" t="s">
        <v>214</v>
      </c>
      <c r="C26" s="12" t="s">
        <v>215</v>
      </c>
      <c r="D26" s="12" t="s">
        <v>22</v>
      </c>
      <c r="E26" s="12" t="s">
        <v>216</v>
      </c>
      <c r="F26" s="12" t="s">
        <v>217</v>
      </c>
      <c r="G26" s="12" t="s">
        <v>218</v>
      </c>
      <c r="H26" s="12" t="s">
        <v>219</v>
      </c>
      <c r="I26" s="12" t="s">
        <v>93</v>
      </c>
      <c r="J26" s="12" t="s">
        <v>10</v>
      </c>
      <c r="K26" s="12" t="s">
        <v>40</v>
      </c>
    </row>
    <row r="27" customFormat="false" ht="52.2" hidden="false" customHeight="false" outlineLevel="0" collapsed="false">
      <c r="A27" s="12" t="s">
        <v>220</v>
      </c>
      <c r="B27" s="12" t="s">
        <v>221</v>
      </c>
      <c r="C27" s="12" t="s">
        <v>222</v>
      </c>
      <c r="D27" s="12" t="s">
        <v>22</v>
      </c>
      <c r="E27" s="12" t="s">
        <v>223</v>
      </c>
      <c r="F27" s="12" t="s">
        <v>224</v>
      </c>
      <c r="G27" s="12" t="s">
        <v>225</v>
      </c>
      <c r="H27" s="12" t="s">
        <v>226</v>
      </c>
      <c r="I27" s="12" t="s">
        <v>93</v>
      </c>
      <c r="J27" s="12" t="s">
        <v>17</v>
      </c>
      <c r="K27" s="12" t="s">
        <v>40</v>
      </c>
    </row>
    <row r="28" customFormat="false" ht="64.9" hidden="false" customHeight="false" outlineLevel="0" collapsed="false">
      <c r="A28" s="12" t="s">
        <v>227</v>
      </c>
      <c r="B28" s="12" t="s">
        <v>228</v>
      </c>
      <c r="C28" s="12" t="s">
        <v>229</v>
      </c>
      <c r="D28" s="12" t="s">
        <v>22</v>
      </c>
      <c r="E28" s="12" t="s">
        <v>230</v>
      </c>
      <c r="F28" s="12" t="s">
        <v>231</v>
      </c>
      <c r="G28" s="12" t="s">
        <v>232</v>
      </c>
      <c r="H28" s="12" t="s">
        <v>233</v>
      </c>
      <c r="I28" s="12" t="s">
        <v>74</v>
      </c>
      <c r="J28" s="12" t="s">
        <v>11</v>
      </c>
      <c r="K28" s="12" t="s">
        <v>40</v>
      </c>
    </row>
    <row r="29" customFormat="false" ht="77.6" hidden="false" customHeight="false" outlineLevel="0" collapsed="false">
      <c r="A29" s="12" t="s">
        <v>234</v>
      </c>
      <c r="B29" s="12" t="s">
        <v>235</v>
      </c>
      <c r="C29" s="12" t="s">
        <v>236</v>
      </c>
      <c r="D29" s="12" t="s">
        <v>22</v>
      </c>
      <c r="E29" s="12" t="s">
        <v>237</v>
      </c>
      <c r="F29" s="12" t="s">
        <v>238</v>
      </c>
      <c r="G29" s="12" t="s">
        <v>239</v>
      </c>
      <c r="H29" s="12" t="s">
        <v>240</v>
      </c>
      <c r="I29" s="12" t="s">
        <v>101</v>
      </c>
      <c r="J29" s="12" t="s">
        <v>13</v>
      </c>
      <c r="K29" s="12" t="s">
        <v>39</v>
      </c>
    </row>
    <row r="30" customFormat="false" ht="26.85" hidden="false" customHeight="false" outlineLevel="0" collapsed="false">
      <c r="A30" s="12" t="s">
        <v>241</v>
      </c>
      <c r="B30" s="12" t="s">
        <v>242</v>
      </c>
      <c r="C30" s="12"/>
      <c r="D30" s="12" t="s">
        <v>24</v>
      </c>
      <c r="E30" s="12" t="s">
        <v>243</v>
      </c>
      <c r="F30" s="12"/>
      <c r="G30" s="12"/>
      <c r="H30" s="12"/>
      <c r="I30" s="12"/>
      <c r="J30" s="12" t="s">
        <v>26</v>
      </c>
      <c r="K30" s="12" t="s">
        <v>42</v>
      </c>
    </row>
    <row r="31" customFormat="false" ht="26.85" hidden="false" customHeight="false" outlineLevel="0" collapsed="false">
      <c r="A31" s="12" t="s">
        <v>244</v>
      </c>
      <c r="B31" s="12" t="s">
        <v>245</v>
      </c>
      <c r="C31" s="12"/>
      <c r="D31" s="12" t="s">
        <v>24</v>
      </c>
      <c r="E31" s="12" t="s">
        <v>246</v>
      </c>
      <c r="F31" s="12"/>
      <c r="G31" s="12"/>
      <c r="H31" s="12"/>
      <c r="I31" s="12"/>
      <c r="J31" s="12" t="s">
        <v>21</v>
      </c>
      <c r="K31" s="12" t="s">
        <v>42</v>
      </c>
    </row>
  </sheetData>
  <conditionalFormatting sqref="D2:D31">
    <cfRule type="cellIs" priority="2" operator="equal" aboveAverage="0" equalAverage="0" bottom="0" percent="0" rank="0" text="" dxfId="0">
      <formula>"Pending"</formula>
    </cfRule>
    <cfRule type="cellIs" priority="3" operator="equal" aboveAverage="0" equalAverage="0" bottom="0" percent="0" rank="0" text="" dxfId="1">
      <formula>"Complete"</formula>
    </cfRule>
  </conditionalFormatting>
  <conditionalFormatting sqref="K2:K31">
    <cfRule type="cellIs" priority="4" operator="equal" aboveAverage="0" equalAverage="0" bottom="0" percent="0" rank="0" text="" dxfId="0">
      <formula>"High"</formula>
    </cfRule>
    <cfRule type="cellIs" priority="5" operator="equal" aboveAverage="0" equalAverage="0" bottom="0" percent="0" rank="0" text="" dxfId="2">
      <formula>"Medium"</formula>
    </cfRule>
    <cfRule type="cellIs" priority="6" operator="equal" aboveAverage="0" equalAverage="0" bottom="0" percent="0" rank="0" text="" dxfId="1">
      <formula>"Low"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2"/>
    <col collapsed="false" customWidth="true" hidden="false" outlineLevel="0" max="3" min="3" style="0" width="22"/>
    <col collapsed="false" customWidth="true" hidden="false" outlineLevel="0" max="4" min="4" style="0" width="10"/>
    <col collapsed="false" customWidth="true" hidden="false" outlineLevel="0" max="5" min="5" style="0" width="34"/>
    <col collapsed="false" customWidth="true" hidden="false" outlineLevel="0" max="6" min="6" style="0" width="38"/>
    <col collapsed="false" customWidth="true" hidden="false" outlineLevel="0" max="8" min="7" style="0" width="12"/>
    <col collapsed="false" customWidth="true" hidden="false" outlineLevel="0" max="9" min="9" style="0" width="15"/>
    <col collapsed="false" customWidth="true" hidden="false" outlineLevel="0" max="10" min="10" style="0" width="45"/>
  </cols>
  <sheetData>
    <row r="1" customFormat="false" ht="26.85" hidden="false" customHeight="false" outlineLevel="0" collapsed="false">
      <c r="A1" s="11" t="s">
        <v>53</v>
      </c>
      <c r="B1" s="11" t="s">
        <v>56</v>
      </c>
      <c r="C1" s="11" t="s">
        <v>62</v>
      </c>
      <c r="D1" s="11" t="s">
        <v>63</v>
      </c>
      <c r="E1" s="11" t="s">
        <v>60</v>
      </c>
      <c r="F1" s="11" t="s">
        <v>247</v>
      </c>
      <c r="G1" s="11" t="s">
        <v>248</v>
      </c>
      <c r="H1" s="11" t="s">
        <v>249</v>
      </c>
      <c r="I1" s="11" t="s">
        <v>250</v>
      </c>
      <c r="J1" s="11" t="s">
        <v>251</v>
      </c>
    </row>
    <row r="2" customFormat="false" ht="26.85" hidden="false" customHeight="false" outlineLevel="0" collapsed="false">
      <c r="A2" s="12" t="s">
        <v>64</v>
      </c>
      <c r="B2" s="12" t="s">
        <v>24</v>
      </c>
      <c r="C2" s="12" t="s">
        <v>15</v>
      </c>
      <c r="D2" s="12" t="s">
        <v>42</v>
      </c>
      <c r="E2" s="12"/>
      <c r="F2" s="12" t="s">
        <v>252</v>
      </c>
      <c r="G2" s="12"/>
      <c r="H2" s="12" t="s">
        <v>253</v>
      </c>
      <c r="I2" s="12" t="s">
        <v>48</v>
      </c>
      <c r="J2" s="12" t="s">
        <v>254</v>
      </c>
    </row>
    <row r="3" customFormat="false" ht="52.2" hidden="false" customHeight="false" outlineLevel="0" collapsed="false">
      <c r="A3" s="12" t="s">
        <v>67</v>
      </c>
      <c r="B3" s="12" t="s">
        <v>22</v>
      </c>
      <c r="C3" s="12" t="s">
        <v>14</v>
      </c>
      <c r="D3" s="12" t="s">
        <v>39</v>
      </c>
      <c r="E3" s="12" t="s">
        <v>73</v>
      </c>
      <c r="F3" s="12" t="s">
        <v>255</v>
      </c>
      <c r="G3" s="12" t="s">
        <v>256</v>
      </c>
      <c r="H3" s="12" t="s">
        <v>257</v>
      </c>
      <c r="I3" s="12" t="s">
        <v>45</v>
      </c>
      <c r="J3" s="12" t="s">
        <v>258</v>
      </c>
    </row>
    <row r="4" customFormat="false" ht="26.85" hidden="false" customHeight="false" outlineLevel="0" collapsed="false">
      <c r="A4" s="12" t="s">
        <v>75</v>
      </c>
      <c r="B4" s="12" t="s">
        <v>24</v>
      </c>
      <c r="C4" s="12" t="s">
        <v>19</v>
      </c>
      <c r="D4" s="12" t="s">
        <v>42</v>
      </c>
      <c r="E4" s="12"/>
      <c r="F4" s="12" t="s">
        <v>252</v>
      </c>
      <c r="G4" s="12"/>
      <c r="H4" s="12" t="s">
        <v>253</v>
      </c>
      <c r="I4" s="12" t="s">
        <v>48</v>
      </c>
      <c r="J4" s="12" t="s">
        <v>254</v>
      </c>
    </row>
    <row r="5" customFormat="false" ht="52.2" hidden="false" customHeight="false" outlineLevel="0" collapsed="false">
      <c r="A5" s="12" t="s">
        <v>78</v>
      </c>
      <c r="B5" s="12" t="s">
        <v>22</v>
      </c>
      <c r="C5" s="12" t="s">
        <v>9</v>
      </c>
      <c r="D5" s="12" t="s">
        <v>39</v>
      </c>
      <c r="E5" s="12" t="s">
        <v>84</v>
      </c>
      <c r="F5" s="12" t="s">
        <v>259</v>
      </c>
      <c r="G5" s="12" t="s">
        <v>256</v>
      </c>
      <c r="H5" s="12" t="s">
        <v>257</v>
      </c>
      <c r="I5" s="12" t="s">
        <v>45</v>
      </c>
      <c r="J5" s="12" t="s">
        <v>258</v>
      </c>
    </row>
    <row r="6" customFormat="false" ht="39.55" hidden="false" customHeight="false" outlineLevel="0" collapsed="false">
      <c r="A6" s="12" t="s">
        <v>86</v>
      </c>
      <c r="B6" s="12" t="s">
        <v>22</v>
      </c>
      <c r="C6" s="12" t="s">
        <v>32</v>
      </c>
      <c r="D6" s="12" t="s">
        <v>40</v>
      </c>
      <c r="E6" s="12" t="s">
        <v>92</v>
      </c>
      <c r="F6" s="12" t="s">
        <v>260</v>
      </c>
      <c r="G6" s="12" t="s">
        <v>256</v>
      </c>
      <c r="H6" s="12" t="s">
        <v>257</v>
      </c>
      <c r="I6" s="12" t="s">
        <v>45</v>
      </c>
      <c r="J6" s="12" t="s">
        <v>258</v>
      </c>
    </row>
    <row r="7" customFormat="false" ht="26.85" hidden="false" customHeight="false" outlineLevel="0" collapsed="false">
      <c r="A7" s="12" t="s">
        <v>94</v>
      </c>
      <c r="B7" s="12" t="s">
        <v>22</v>
      </c>
      <c r="C7" s="12" t="s">
        <v>16</v>
      </c>
      <c r="D7" s="12" t="s">
        <v>40</v>
      </c>
      <c r="E7" s="12" t="s">
        <v>100</v>
      </c>
      <c r="F7" s="12" t="s">
        <v>261</v>
      </c>
      <c r="G7" s="12" t="s">
        <v>256</v>
      </c>
      <c r="H7" s="12" t="s">
        <v>257</v>
      </c>
      <c r="I7" s="12" t="s">
        <v>45</v>
      </c>
      <c r="J7" s="12" t="s">
        <v>258</v>
      </c>
    </row>
    <row r="8" customFormat="false" ht="39.55" hidden="false" customHeight="false" outlineLevel="0" collapsed="false">
      <c r="A8" s="12" t="s">
        <v>102</v>
      </c>
      <c r="B8" s="12" t="s">
        <v>22</v>
      </c>
      <c r="C8" s="12" t="s">
        <v>20</v>
      </c>
      <c r="D8" s="12" t="s">
        <v>39</v>
      </c>
      <c r="E8" s="12" t="s">
        <v>108</v>
      </c>
      <c r="F8" s="12" t="s">
        <v>262</v>
      </c>
      <c r="G8" s="12" t="s">
        <v>256</v>
      </c>
      <c r="H8" s="12" t="s">
        <v>257</v>
      </c>
      <c r="I8" s="12" t="s">
        <v>45</v>
      </c>
      <c r="J8" s="12" t="s">
        <v>258</v>
      </c>
    </row>
    <row r="9" customFormat="false" ht="77.6" hidden="false" customHeight="false" outlineLevel="0" collapsed="false">
      <c r="A9" s="12" t="s">
        <v>109</v>
      </c>
      <c r="B9" s="12" t="s">
        <v>22</v>
      </c>
      <c r="C9" s="12" t="s">
        <v>30</v>
      </c>
      <c r="D9" s="12" t="s">
        <v>39</v>
      </c>
      <c r="E9" s="12" t="s">
        <v>115</v>
      </c>
      <c r="F9" s="12" t="s">
        <v>263</v>
      </c>
      <c r="G9" s="12" t="s">
        <v>264</v>
      </c>
      <c r="H9" s="12" t="s">
        <v>265</v>
      </c>
      <c r="I9" s="12" t="s">
        <v>46</v>
      </c>
      <c r="J9" s="12" t="s">
        <v>266</v>
      </c>
    </row>
    <row r="10" customFormat="false" ht="141" hidden="false" customHeight="false" outlineLevel="0" collapsed="false">
      <c r="A10" s="12" t="s">
        <v>116</v>
      </c>
      <c r="B10" s="12" t="s">
        <v>22</v>
      </c>
      <c r="C10" s="12" t="s">
        <v>29</v>
      </c>
      <c r="D10" s="12" t="s">
        <v>39</v>
      </c>
      <c r="E10" s="12" t="s">
        <v>122</v>
      </c>
      <c r="F10" s="12" t="s">
        <v>267</v>
      </c>
      <c r="G10" s="12" t="s">
        <v>264</v>
      </c>
      <c r="H10" s="12" t="s">
        <v>265</v>
      </c>
      <c r="I10" s="12" t="s">
        <v>47</v>
      </c>
      <c r="J10" s="12" t="s">
        <v>268</v>
      </c>
    </row>
    <row r="11" customFormat="false" ht="26.85" hidden="false" customHeight="false" outlineLevel="0" collapsed="false">
      <c r="A11" s="12" t="s">
        <v>123</v>
      </c>
      <c r="B11" s="12" t="s">
        <v>22</v>
      </c>
      <c r="C11" s="12" t="s">
        <v>34</v>
      </c>
      <c r="D11" s="12" t="s">
        <v>39</v>
      </c>
      <c r="E11" s="12" t="s">
        <v>129</v>
      </c>
      <c r="F11" s="12" t="s">
        <v>129</v>
      </c>
      <c r="G11" s="12" t="s">
        <v>256</v>
      </c>
      <c r="H11" s="12" t="s">
        <v>257</v>
      </c>
      <c r="I11" s="12" t="s">
        <v>45</v>
      </c>
      <c r="J11" s="12" t="s">
        <v>258</v>
      </c>
    </row>
    <row r="12" customFormat="false" ht="39.55" hidden="false" customHeight="false" outlineLevel="0" collapsed="false">
      <c r="A12" s="12" t="s">
        <v>130</v>
      </c>
      <c r="B12" s="12" t="s">
        <v>22</v>
      </c>
      <c r="C12" s="12" t="s">
        <v>28</v>
      </c>
      <c r="D12" s="12" t="s">
        <v>40</v>
      </c>
      <c r="E12" s="12" t="s">
        <v>136</v>
      </c>
      <c r="F12" s="12" t="s">
        <v>269</v>
      </c>
      <c r="G12" s="12" t="s">
        <v>256</v>
      </c>
      <c r="H12" s="12" t="s">
        <v>257</v>
      </c>
      <c r="I12" s="12" t="s">
        <v>45</v>
      </c>
      <c r="J12" s="12" t="s">
        <v>258</v>
      </c>
    </row>
    <row r="13" customFormat="false" ht="77.6" hidden="false" customHeight="false" outlineLevel="0" collapsed="false">
      <c r="A13" s="12" t="s">
        <v>137</v>
      </c>
      <c r="B13" s="12" t="s">
        <v>22</v>
      </c>
      <c r="C13" s="12" t="s">
        <v>31</v>
      </c>
      <c r="D13" s="12" t="s">
        <v>40</v>
      </c>
      <c r="E13" s="12" t="s">
        <v>143</v>
      </c>
      <c r="F13" s="12" t="s">
        <v>270</v>
      </c>
      <c r="G13" s="12" t="s">
        <v>264</v>
      </c>
      <c r="H13" s="12" t="s">
        <v>265</v>
      </c>
      <c r="I13" s="12" t="s">
        <v>46</v>
      </c>
      <c r="J13" s="12" t="s">
        <v>271</v>
      </c>
    </row>
    <row r="14" customFormat="false" ht="90.25" hidden="false" customHeight="false" outlineLevel="0" collapsed="false">
      <c r="A14" s="12" t="s">
        <v>144</v>
      </c>
      <c r="B14" s="12" t="s">
        <v>22</v>
      </c>
      <c r="C14" s="12" t="s">
        <v>35</v>
      </c>
      <c r="D14" s="12" t="s">
        <v>40</v>
      </c>
      <c r="E14" s="12" t="s">
        <v>150</v>
      </c>
      <c r="F14" s="12" t="s">
        <v>272</v>
      </c>
      <c r="G14" s="12" t="s">
        <v>264</v>
      </c>
      <c r="H14" s="12" t="s">
        <v>265</v>
      </c>
      <c r="I14" s="12" t="s">
        <v>46</v>
      </c>
      <c r="J14" s="12" t="s">
        <v>273</v>
      </c>
    </row>
    <row r="15" customFormat="false" ht="52.2" hidden="false" customHeight="false" outlineLevel="0" collapsed="false">
      <c r="A15" s="12" t="s">
        <v>151</v>
      </c>
      <c r="B15" s="12" t="s">
        <v>22</v>
      </c>
      <c r="C15" s="12" t="s">
        <v>27</v>
      </c>
      <c r="D15" s="12" t="s">
        <v>39</v>
      </c>
      <c r="E15" s="12" t="s">
        <v>157</v>
      </c>
      <c r="F15" s="12" t="s">
        <v>274</v>
      </c>
      <c r="G15" s="12" t="s">
        <v>256</v>
      </c>
      <c r="H15" s="12" t="s">
        <v>257</v>
      </c>
      <c r="I15" s="12" t="s">
        <v>45</v>
      </c>
      <c r="J15" s="12" t="s">
        <v>258</v>
      </c>
    </row>
    <row r="16" customFormat="false" ht="26.85" hidden="false" customHeight="false" outlineLevel="0" collapsed="false">
      <c r="A16" s="12" t="s">
        <v>158</v>
      </c>
      <c r="B16" s="12" t="s">
        <v>24</v>
      </c>
      <c r="C16" s="12" t="s">
        <v>18</v>
      </c>
      <c r="D16" s="12" t="s">
        <v>42</v>
      </c>
      <c r="E16" s="12"/>
      <c r="F16" s="12" t="s">
        <v>252</v>
      </c>
      <c r="G16" s="12"/>
      <c r="H16" s="12" t="s">
        <v>253</v>
      </c>
      <c r="I16" s="12" t="s">
        <v>48</v>
      </c>
      <c r="J16" s="12" t="s">
        <v>254</v>
      </c>
    </row>
    <row r="17" customFormat="false" ht="26.85" hidden="false" customHeight="false" outlineLevel="0" collapsed="false">
      <c r="A17" s="12" t="s">
        <v>161</v>
      </c>
      <c r="B17" s="12" t="s">
        <v>24</v>
      </c>
      <c r="C17" s="12" t="s">
        <v>33</v>
      </c>
      <c r="D17" s="12" t="s">
        <v>42</v>
      </c>
      <c r="E17" s="12"/>
      <c r="F17" s="12" t="s">
        <v>252</v>
      </c>
      <c r="G17" s="12"/>
      <c r="H17" s="12" t="s">
        <v>253</v>
      </c>
      <c r="I17" s="12" t="s">
        <v>48</v>
      </c>
      <c r="J17" s="12" t="s">
        <v>254</v>
      </c>
    </row>
    <row r="18" customFormat="false" ht="26.85" hidden="false" customHeight="false" outlineLevel="0" collapsed="false">
      <c r="A18" s="12" t="s">
        <v>164</v>
      </c>
      <c r="B18" s="12" t="s">
        <v>24</v>
      </c>
      <c r="C18" s="12" t="s">
        <v>12</v>
      </c>
      <c r="D18" s="12" t="s">
        <v>42</v>
      </c>
      <c r="E18" s="12"/>
      <c r="F18" s="12" t="s">
        <v>252</v>
      </c>
      <c r="G18" s="12"/>
      <c r="H18" s="12" t="s">
        <v>253</v>
      </c>
      <c r="I18" s="12" t="s">
        <v>48</v>
      </c>
      <c r="J18" s="12" t="s">
        <v>254</v>
      </c>
    </row>
    <row r="19" customFormat="false" ht="26.85" hidden="false" customHeight="false" outlineLevel="0" collapsed="false">
      <c r="A19" s="12" t="s">
        <v>167</v>
      </c>
      <c r="B19" s="12" t="s">
        <v>24</v>
      </c>
      <c r="C19" s="12" t="s">
        <v>15</v>
      </c>
      <c r="D19" s="12" t="s">
        <v>42</v>
      </c>
      <c r="E19" s="12"/>
      <c r="F19" s="12" t="s">
        <v>252</v>
      </c>
      <c r="G19" s="12"/>
      <c r="H19" s="12" t="s">
        <v>253</v>
      </c>
      <c r="I19" s="12" t="s">
        <v>48</v>
      </c>
      <c r="J19" s="12" t="s">
        <v>254</v>
      </c>
    </row>
    <row r="20" customFormat="false" ht="52.2" hidden="false" customHeight="false" outlineLevel="0" collapsed="false">
      <c r="A20" s="12" t="s">
        <v>170</v>
      </c>
      <c r="B20" s="12" t="s">
        <v>22</v>
      </c>
      <c r="C20" s="12" t="s">
        <v>25</v>
      </c>
      <c r="D20" s="12" t="s">
        <v>39</v>
      </c>
      <c r="E20" s="12" t="s">
        <v>176</v>
      </c>
      <c r="F20" s="12" t="s">
        <v>275</v>
      </c>
      <c r="G20" s="12" t="s">
        <v>256</v>
      </c>
      <c r="H20" s="12" t="s">
        <v>257</v>
      </c>
      <c r="I20" s="12" t="s">
        <v>45</v>
      </c>
      <c r="J20" s="12" t="s">
        <v>258</v>
      </c>
    </row>
    <row r="21" customFormat="false" ht="39.55" hidden="false" customHeight="false" outlineLevel="0" collapsed="false">
      <c r="A21" s="12" t="s">
        <v>177</v>
      </c>
      <c r="B21" s="12" t="s">
        <v>22</v>
      </c>
      <c r="C21" s="12" t="s">
        <v>25</v>
      </c>
      <c r="D21" s="12" t="s">
        <v>39</v>
      </c>
      <c r="E21" s="12" t="s">
        <v>183</v>
      </c>
      <c r="F21" s="12" t="s">
        <v>276</v>
      </c>
      <c r="G21" s="12" t="s">
        <v>256</v>
      </c>
      <c r="H21" s="12" t="s">
        <v>257</v>
      </c>
      <c r="I21" s="12" t="s">
        <v>45</v>
      </c>
      <c r="J21" s="12" t="s">
        <v>258</v>
      </c>
    </row>
    <row r="22" customFormat="false" ht="39.55" hidden="false" customHeight="false" outlineLevel="0" collapsed="false">
      <c r="A22" s="12" t="s">
        <v>184</v>
      </c>
      <c r="B22" s="12" t="s">
        <v>22</v>
      </c>
      <c r="C22" s="12" t="s">
        <v>36</v>
      </c>
      <c r="D22" s="12" t="s">
        <v>40</v>
      </c>
      <c r="E22" s="12" t="s">
        <v>190</v>
      </c>
      <c r="F22" s="12" t="s">
        <v>277</v>
      </c>
      <c r="G22" s="12" t="s">
        <v>256</v>
      </c>
      <c r="H22" s="12" t="s">
        <v>257</v>
      </c>
      <c r="I22" s="12" t="s">
        <v>45</v>
      </c>
      <c r="J22" s="12" t="s">
        <v>258</v>
      </c>
    </row>
    <row r="23" customFormat="false" ht="52.2" hidden="false" customHeight="false" outlineLevel="0" collapsed="false">
      <c r="A23" s="12" t="s">
        <v>191</v>
      </c>
      <c r="B23" s="12" t="s">
        <v>22</v>
      </c>
      <c r="C23" s="12" t="s">
        <v>30</v>
      </c>
      <c r="D23" s="12" t="s">
        <v>39</v>
      </c>
      <c r="E23" s="12" t="s">
        <v>197</v>
      </c>
      <c r="F23" s="12" t="s">
        <v>278</v>
      </c>
      <c r="G23" s="12" t="s">
        <v>256</v>
      </c>
      <c r="H23" s="12" t="s">
        <v>257</v>
      </c>
      <c r="I23" s="12" t="s">
        <v>45</v>
      </c>
      <c r="J23" s="12" t="s">
        <v>258</v>
      </c>
    </row>
    <row r="24" customFormat="false" ht="26.85" hidden="false" customHeight="false" outlineLevel="0" collapsed="false">
      <c r="A24" s="12" t="s">
        <v>198</v>
      </c>
      <c r="B24" s="12" t="s">
        <v>22</v>
      </c>
      <c r="C24" s="12" t="s">
        <v>34</v>
      </c>
      <c r="D24" s="12" t="s">
        <v>39</v>
      </c>
      <c r="E24" s="12" t="s">
        <v>204</v>
      </c>
      <c r="F24" s="12" t="s">
        <v>204</v>
      </c>
      <c r="G24" s="12" t="s">
        <v>256</v>
      </c>
      <c r="H24" s="12" t="s">
        <v>257</v>
      </c>
      <c r="I24" s="12" t="s">
        <v>45</v>
      </c>
      <c r="J24" s="12" t="s">
        <v>258</v>
      </c>
    </row>
    <row r="25" customFormat="false" ht="26.85" hidden="false" customHeight="false" outlineLevel="0" collapsed="false">
      <c r="A25" s="12" t="s">
        <v>205</v>
      </c>
      <c r="B25" s="12" t="s">
        <v>22</v>
      </c>
      <c r="C25" s="12" t="s">
        <v>23</v>
      </c>
      <c r="D25" s="12" t="s">
        <v>39</v>
      </c>
      <c r="E25" s="12" t="s">
        <v>211</v>
      </c>
      <c r="F25" s="12" t="s">
        <v>211</v>
      </c>
      <c r="G25" s="12" t="s">
        <v>256</v>
      </c>
      <c r="H25" s="12" t="s">
        <v>257</v>
      </c>
      <c r="I25" s="12" t="s">
        <v>45</v>
      </c>
      <c r="J25" s="12" t="s">
        <v>258</v>
      </c>
    </row>
    <row r="26" customFormat="false" ht="39.55" hidden="false" customHeight="false" outlineLevel="0" collapsed="false">
      <c r="A26" s="12" t="s">
        <v>213</v>
      </c>
      <c r="B26" s="12" t="s">
        <v>22</v>
      </c>
      <c r="C26" s="12" t="s">
        <v>10</v>
      </c>
      <c r="D26" s="12" t="s">
        <v>40</v>
      </c>
      <c r="E26" s="12" t="s">
        <v>219</v>
      </c>
      <c r="F26" s="12" t="s">
        <v>279</v>
      </c>
      <c r="G26" s="12" t="s">
        <v>256</v>
      </c>
      <c r="H26" s="12" t="s">
        <v>257</v>
      </c>
      <c r="I26" s="12" t="s">
        <v>45</v>
      </c>
      <c r="J26" s="12" t="s">
        <v>258</v>
      </c>
    </row>
    <row r="27" customFormat="false" ht="102.95" hidden="false" customHeight="false" outlineLevel="0" collapsed="false">
      <c r="A27" s="12" t="s">
        <v>220</v>
      </c>
      <c r="B27" s="12" t="s">
        <v>22</v>
      </c>
      <c r="C27" s="12" t="s">
        <v>17</v>
      </c>
      <c r="D27" s="12" t="s">
        <v>40</v>
      </c>
      <c r="E27" s="12" t="s">
        <v>226</v>
      </c>
      <c r="F27" s="12" t="s">
        <v>280</v>
      </c>
      <c r="G27" s="12" t="s">
        <v>264</v>
      </c>
      <c r="H27" s="12" t="s">
        <v>265</v>
      </c>
      <c r="I27" s="12" t="s">
        <v>46</v>
      </c>
      <c r="J27" s="12" t="s">
        <v>281</v>
      </c>
    </row>
    <row r="28" customFormat="false" ht="39.55" hidden="false" customHeight="false" outlineLevel="0" collapsed="false">
      <c r="A28" s="12" t="s">
        <v>227</v>
      </c>
      <c r="B28" s="12" t="s">
        <v>22</v>
      </c>
      <c r="C28" s="12" t="s">
        <v>11</v>
      </c>
      <c r="D28" s="12" t="s">
        <v>40</v>
      </c>
      <c r="E28" s="12" t="s">
        <v>233</v>
      </c>
      <c r="F28" s="12" t="s">
        <v>282</v>
      </c>
      <c r="G28" s="12" t="s">
        <v>256</v>
      </c>
      <c r="H28" s="12" t="s">
        <v>257</v>
      </c>
      <c r="I28" s="12" t="s">
        <v>45</v>
      </c>
      <c r="J28" s="12" t="s">
        <v>258</v>
      </c>
    </row>
    <row r="29" customFormat="false" ht="39.55" hidden="false" customHeight="false" outlineLevel="0" collapsed="false">
      <c r="A29" s="12" t="s">
        <v>234</v>
      </c>
      <c r="B29" s="12" t="s">
        <v>22</v>
      </c>
      <c r="C29" s="12" t="s">
        <v>13</v>
      </c>
      <c r="D29" s="12" t="s">
        <v>39</v>
      </c>
      <c r="E29" s="12" t="s">
        <v>240</v>
      </c>
      <c r="F29" s="12" t="s">
        <v>283</v>
      </c>
      <c r="G29" s="12" t="s">
        <v>256</v>
      </c>
      <c r="H29" s="12" t="s">
        <v>257</v>
      </c>
      <c r="I29" s="12" t="s">
        <v>45</v>
      </c>
      <c r="J29" s="12" t="s">
        <v>258</v>
      </c>
    </row>
    <row r="30" customFormat="false" ht="26.85" hidden="false" customHeight="false" outlineLevel="0" collapsed="false">
      <c r="A30" s="12" t="s">
        <v>241</v>
      </c>
      <c r="B30" s="12" t="s">
        <v>24</v>
      </c>
      <c r="C30" s="12" t="s">
        <v>26</v>
      </c>
      <c r="D30" s="12" t="s">
        <v>42</v>
      </c>
      <c r="E30" s="12"/>
      <c r="F30" s="12" t="s">
        <v>252</v>
      </c>
      <c r="G30" s="12"/>
      <c r="H30" s="12" t="s">
        <v>253</v>
      </c>
      <c r="I30" s="12" t="s">
        <v>48</v>
      </c>
      <c r="J30" s="12" t="s">
        <v>254</v>
      </c>
    </row>
    <row r="31" customFormat="false" ht="26.85" hidden="false" customHeight="false" outlineLevel="0" collapsed="false">
      <c r="A31" s="12" t="s">
        <v>244</v>
      </c>
      <c r="B31" s="12" t="s">
        <v>24</v>
      </c>
      <c r="C31" s="12" t="s">
        <v>21</v>
      </c>
      <c r="D31" s="12" t="s">
        <v>42</v>
      </c>
      <c r="E31" s="12"/>
      <c r="F31" s="12" t="s">
        <v>252</v>
      </c>
      <c r="G31" s="12"/>
      <c r="H31" s="12" t="s">
        <v>253</v>
      </c>
      <c r="I31" s="12" t="s">
        <v>48</v>
      </c>
      <c r="J31" s="12" t="s">
        <v>254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18"/>
    <col collapsed="false" customWidth="true" hidden="false" outlineLevel="0" max="4" min="4" style="0" width="55"/>
    <col collapsed="false" customWidth="true" hidden="false" outlineLevel="0" max="5" min="5" style="0" width="10"/>
  </cols>
  <sheetData>
    <row r="1" customFormat="false" ht="39.55" hidden="false" customHeight="false" outlineLevel="0" collapsed="false">
      <c r="A1" s="11" t="s">
        <v>53</v>
      </c>
      <c r="B1" s="11" t="s">
        <v>60</v>
      </c>
      <c r="C1" s="11" t="s">
        <v>284</v>
      </c>
      <c r="D1" s="11" t="s">
        <v>285</v>
      </c>
      <c r="E1" s="11" t="s">
        <v>286</v>
      </c>
    </row>
    <row r="2" customFormat="false" ht="15" hidden="false" customHeight="false" outlineLevel="0" collapsed="false">
      <c r="A2" s="12" t="s">
        <v>64</v>
      </c>
      <c r="B2" s="12"/>
      <c r="C2" s="12" t="s">
        <v>287</v>
      </c>
      <c r="D2" s="12" t="s">
        <v>288</v>
      </c>
      <c r="E2" s="12" t="s">
        <v>289</v>
      </c>
    </row>
    <row r="3" customFormat="false" ht="52.2" hidden="false" customHeight="false" outlineLevel="0" collapsed="false">
      <c r="A3" s="12" t="s">
        <v>67</v>
      </c>
      <c r="B3" s="12" t="s">
        <v>73</v>
      </c>
      <c r="C3" s="12" t="s">
        <v>290</v>
      </c>
      <c r="D3" s="12" t="s">
        <v>291</v>
      </c>
      <c r="E3" s="12" t="s">
        <v>289</v>
      </c>
    </row>
    <row r="4" customFormat="false" ht="15" hidden="false" customHeight="false" outlineLevel="0" collapsed="false">
      <c r="A4" s="12" t="s">
        <v>75</v>
      </c>
      <c r="B4" s="12"/>
      <c r="C4" s="12" t="s">
        <v>287</v>
      </c>
      <c r="D4" s="12" t="s">
        <v>288</v>
      </c>
      <c r="E4" s="12" t="s">
        <v>289</v>
      </c>
    </row>
    <row r="5" customFormat="false" ht="52.2" hidden="false" customHeight="false" outlineLevel="0" collapsed="false">
      <c r="A5" s="12" t="s">
        <v>78</v>
      </c>
      <c r="B5" s="12" t="s">
        <v>84</v>
      </c>
      <c r="C5" s="12" t="s">
        <v>290</v>
      </c>
      <c r="D5" s="12" t="s">
        <v>291</v>
      </c>
      <c r="E5" s="12" t="s">
        <v>289</v>
      </c>
    </row>
    <row r="6" customFormat="false" ht="39.55" hidden="false" customHeight="false" outlineLevel="0" collapsed="false">
      <c r="A6" s="12" t="s">
        <v>86</v>
      </c>
      <c r="B6" s="12" t="s">
        <v>92</v>
      </c>
      <c r="C6" s="12" t="s">
        <v>290</v>
      </c>
      <c r="D6" s="12" t="s">
        <v>291</v>
      </c>
      <c r="E6" s="12" t="s">
        <v>289</v>
      </c>
    </row>
    <row r="7" customFormat="false" ht="26.85" hidden="false" customHeight="false" outlineLevel="0" collapsed="false">
      <c r="A7" s="12" t="s">
        <v>94</v>
      </c>
      <c r="B7" s="12" t="s">
        <v>100</v>
      </c>
      <c r="C7" s="12" t="s">
        <v>292</v>
      </c>
      <c r="D7" s="12" t="s">
        <v>293</v>
      </c>
      <c r="E7" s="12" t="s">
        <v>294</v>
      </c>
    </row>
    <row r="8" customFormat="false" ht="39.55" hidden="false" customHeight="false" outlineLevel="0" collapsed="false">
      <c r="A8" s="12" t="s">
        <v>102</v>
      </c>
      <c r="B8" s="12" t="s">
        <v>108</v>
      </c>
      <c r="C8" s="12" t="s">
        <v>290</v>
      </c>
      <c r="D8" s="12" t="s">
        <v>291</v>
      </c>
      <c r="E8" s="12" t="s">
        <v>289</v>
      </c>
    </row>
    <row r="9" customFormat="false" ht="39.55" hidden="false" customHeight="false" outlineLevel="0" collapsed="false">
      <c r="A9" s="12" t="s">
        <v>109</v>
      </c>
      <c r="B9" s="12" t="s">
        <v>115</v>
      </c>
      <c r="C9" s="12" t="s">
        <v>290</v>
      </c>
      <c r="D9" s="12" t="s">
        <v>291</v>
      </c>
      <c r="E9" s="12" t="s">
        <v>289</v>
      </c>
    </row>
    <row r="10" customFormat="false" ht="52.2" hidden="false" customHeight="false" outlineLevel="0" collapsed="false">
      <c r="A10" s="12" t="s">
        <v>116</v>
      </c>
      <c r="B10" s="12" t="s">
        <v>122</v>
      </c>
      <c r="C10" s="12" t="s">
        <v>290</v>
      </c>
      <c r="D10" s="12" t="s">
        <v>291</v>
      </c>
      <c r="E10" s="12" t="s">
        <v>289</v>
      </c>
    </row>
    <row r="11" customFormat="false" ht="26.85" hidden="false" customHeight="false" outlineLevel="0" collapsed="false">
      <c r="A11" s="12" t="s">
        <v>123</v>
      </c>
      <c r="B11" s="12" t="s">
        <v>129</v>
      </c>
      <c r="C11" s="12" t="s">
        <v>290</v>
      </c>
      <c r="D11" s="12" t="s">
        <v>291</v>
      </c>
      <c r="E11" s="12" t="s">
        <v>289</v>
      </c>
    </row>
    <row r="12" customFormat="false" ht="39.55" hidden="false" customHeight="false" outlineLevel="0" collapsed="false">
      <c r="A12" s="12" t="s">
        <v>130</v>
      </c>
      <c r="B12" s="12" t="s">
        <v>136</v>
      </c>
      <c r="C12" s="12" t="s">
        <v>290</v>
      </c>
      <c r="D12" s="12" t="s">
        <v>291</v>
      </c>
      <c r="E12" s="12" t="s">
        <v>289</v>
      </c>
    </row>
    <row r="13" customFormat="false" ht="52.2" hidden="false" customHeight="false" outlineLevel="0" collapsed="false">
      <c r="A13" s="12" t="s">
        <v>137</v>
      </c>
      <c r="B13" s="12" t="s">
        <v>143</v>
      </c>
      <c r="C13" s="12" t="s">
        <v>290</v>
      </c>
      <c r="D13" s="12" t="s">
        <v>291</v>
      </c>
      <c r="E13" s="12" t="s">
        <v>289</v>
      </c>
    </row>
    <row r="14" customFormat="false" ht="39.55" hidden="false" customHeight="false" outlineLevel="0" collapsed="false">
      <c r="A14" s="12" t="s">
        <v>144</v>
      </c>
      <c r="B14" s="12" t="s">
        <v>150</v>
      </c>
      <c r="C14" s="12" t="s">
        <v>290</v>
      </c>
      <c r="D14" s="12" t="s">
        <v>291</v>
      </c>
      <c r="E14" s="12" t="s">
        <v>289</v>
      </c>
    </row>
    <row r="15" customFormat="false" ht="52.2" hidden="false" customHeight="false" outlineLevel="0" collapsed="false">
      <c r="A15" s="12" t="s">
        <v>151</v>
      </c>
      <c r="B15" s="12" t="s">
        <v>157</v>
      </c>
      <c r="C15" s="12" t="s">
        <v>290</v>
      </c>
      <c r="D15" s="12" t="s">
        <v>291</v>
      </c>
      <c r="E15" s="12" t="s">
        <v>289</v>
      </c>
    </row>
    <row r="16" customFormat="false" ht="15" hidden="false" customHeight="false" outlineLevel="0" collapsed="false">
      <c r="A16" s="12" t="s">
        <v>158</v>
      </c>
      <c r="B16" s="12"/>
      <c r="C16" s="12" t="s">
        <v>287</v>
      </c>
      <c r="D16" s="12" t="s">
        <v>288</v>
      </c>
      <c r="E16" s="12" t="s">
        <v>289</v>
      </c>
    </row>
    <row r="17" customFormat="false" ht="15" hidden="false" customHeight="false" outlineLevel="0" collapsed="false">
      <c r="A17" s="12" t="s">
        <v>161</v>
      </c>
      <c r="B17" s="12"/>
      <c r="C17" s="12" t="s">
        <v>287</v>
      </c>
      <c r="D17" s="12" t="s">
        <v>288</v>
      </c>
      <c r="E17" s="12" t="s">
        <v>289</v>
      </c>
    </row>
    <row r="18" customFormat="false" ht="15" hidden="false" customHeight="false" outlineLevel="0" collapsed="false">
      <c r="A18" s="12" t="s">
        <v>164</v>
      </c>
      <c r="B18" s="12"/>
      <c r="C18" s="12" t="s">
        <v>287</v>
      </c>
      <c r="D18" s="12" t="s">
        <v>288</v>
      </c>
      <c r="E18" s="12" t="s">
        <v>289</v>
      </c>
    </row>
    <row r="19" customFormat="false" ht="15" hidden="false" customHeight="false" outlineLevel="0" collapsed="false">
      <c r="A19" s="12" t="s">
        <v>167</v>
      </c>
      <c r="B19" s="12"/>
      <c r="C19" s="12" t="s">
        <v>287</v>
      </c>
      <c r="D19" s="12" t="s">
        <v>288</v>
      </c>
      <c r="E19" s="12" t="s">
        <v>289</v>
      </c>
    </row>
    <row r="20" customFormat="false" ht="52.2" hidden="false" customHeight="false" outlineLevel="0" collapsed="false">
      <c r="A20" s="12" t="s">
        <v>170</v>
      </c>
      <c r="B20" s="12" t="s">
        <v>176</v>
      </c>
      <c r="C20" s="12" t="s">
        <v>295</v>
      </c>
      <c r="D20" s="12" t="s">
        <v>296</v>
      </c>
      <c r="E20" s="12" t="s">
        <v>294</v>
      </c>
    </row>
    <row r="21" customFormat="false" ht="39.55" hidden="false" customHeight="false" outlineLevel="0" collapsed="false">
      <c r="A21" s="12" t="s">
        <v>177</v>
      </c>
      <c r="B21" s="12" t="s">
        <v>183</v>
      </c>
      <c r="C21" s="12" t="s">
        <v>295</v>
      </c>
      <c r="D21" s="12" t="s">
        <v>296</v>
      </c>
      <c r="E21" s="12" t="s">
        <v>294</v>
      </c>
    </row>
    <row r="22" customFormat="false" ht="39.55" hidden="false" customHeight="false" outlineLevel="0" collapsed="false">
      <c r="A22" s="12" t="s">
        <v>184</v>
      </c>
      <c r="B22" s="12" t="s">
        <v>190</v>
      </c>
      <c r="C22" s="12" t="s">
        <v>290</v>
      </c>
      <c r="D22" s="12" t="s">
        <v>291</v>
      </c>
      <c r="E22" s="12" t="s">
        <v>289</v>
      </c>
    </row>
    <row r="23" customFormat="false" ht="52.2" hidden="false" customHeight="false" outlineLevel="0" collapsed="false">
      <c r="A23" s="12" t="s">
        <v>191</v>
      </c>
      <c r="B23" s="12" t="s">
        <v>197</v>
      </c>
      <c r="C23" s="12" t="s">
        <v>290</v>
      </c>
      <c r="D23" s="12" t="s">
        <v>291</v>
      </c>
      <c r="E23" s="12" t="s">
        <v>289</v>
      </c>
    </row>
    <row r="24" customFormat="false" ht="26.85" hidden="false" customHeight="false" outlineLevel="0" collapsed="false">
      <c r="A24" s="12" t="s">
        <v>198</v>
      </c>
      <c r="B24" s="12" t="s">
        <v>204</v>
      </c>
      <c r="C24" s="12" t="s">
        <v>290</v>
      </c>
      <c r="D24" s="12" t="s">
        <v>291</v>
      </c>
      <c r="E24" s="12" t="s">
        <v>289</v>
      </c>
    </row>
    <row r="25" customFormat="false" ht="26.85" hidden="false" customHeight="false" outlineLevel="0" collapsed="false">
      <c r="A25" s="12" t="s">
        <v>205</v>
      </c>
      <c r="B25" s="12" t="s">
        <v>211</v>
      </c>
      <c r="C25" s="12" t="s">
        <v>297</v>
      </c>
      <c r="D25" s="12" t="s">
        <v>298</v>
      </c>
      <c r="E25" s="12" t="s">
        <v>294</v>
      </c>
    </row>
    <row r="26" customFormat="false" ht="39.55" hidden="false" customHeight="false" outlineLevel="0" collapsed="false">
      <c r="A26" s="12" t="s">
        <v>213</v>
      </c>
      <c r="B26" s="12" t="s">
        <v>219</v>
      </c>
      <c r="C26" s="12" t="s">
        <v>290</v>
      </c>
      <c r="D26" s="12" t="s">
        <v>291</v>
      </c>
      <c r="E26" s="12" t="s">
        <v>289</v>
      </c>
    </row>
    <row r="27" customFormat="false" ht="52.2" hidden="false" customHeight="false" outlineLevel="0" collapsed="false">
      <c r="A27" s="12" t="s">
        <v>220</v>
      </c>
      <c r="B27" s="12" t="s">
        <v>226</v>
      </c>
      <c r="C27" s="12" t="s">
        <v>290</v>
      </c>
      <c r="D27" s="12" t="s">
        <v>291</v>
      </c>
      <c r="E27" s="12" t="s">
        <v>289</v>
      </c>
    </row>
    <row r="28" customFormat="false" ht="39.55" hidden="false" customHeight="false" outlineLevel="0" collapsed="false">
      <c r="A28" s="12" t="s">
        <v>227</v>
      </c>
      <c r="B28" s="12" t="s">
        <v>233</v>
      </c>
      <c r="C28" s="12" t="s">
        <v>290</v>
      </c>
      <c r="D28" s="12" t="s">
        <v>291</v>
      </c>
      <c r="E28" s="12" t="s">
        <v>289</v>
      </c>
    </row>
    <row r="29" customFormat="false" ht="39.55" hidden="false" customHeight="false" outlineLevel="0" collapsed="false">
      <c r="A29" s="12" t="s">
        <v>234</v>
      </c>
      <c r="B29" s="12" t="s">
        <v>240</v>
      </c>
      <c r="C29" s="12" t="s">
        <v>290</v>
      </c>
      <c r="D29" s="12" t="s">
        <v>291</v>
      </c>
      <c r="E29" s="12" t="s">
        <v>289</v>
      </c>
    </row>
    <row r="30" customFormat="false" ht="15" hidden="false" customHeight="false" outlineLevel="0" collapsed="false">
      <c r="A30" s="12" t="s">
        <v>241</v>
      </c>
      <c r="B30" s="12"/>
      <c r="C30" s="12" t="s">
        <v>287</v>
      </c>
      <c r="D30" s="12" t="s">
        <v>288</v>
      </c>
      <c r="E30" s="12" t="s">
        <v>289</v>
      </c>
    </row>
    <row r="31" customFormat="false" ht="15" hidden="false" customHeight="false" outlineLevel="0" collapsed="false">
      <c r="A31" s="12" t="s">
        <v>244</v>
      </c>
      <c r="B31" s="12"/>
      <c r="C31" s="12" t="s">
        <v>287</v>
      </c>
      <c r="D31" s="12" t="s">
        <v>288</v>
      </c>
      <c r="E31" s="12" t="s">
        <v>289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"/>
    <col collapsed="false" customWidth="true" hidden="false" outlineLevel="0" max="3" min="3" style="0" width="34"/>
    <col collapsed="false" customWidth="true" hidden="false" outlineLevel="0" max="4" min="4" style="0" width="22"/>
  </cols>
  <sheetData>
    <row r="2" customFormat="false" ht="19.7" hidden="false" customHeight="false" outlineLevel="0" collapsed="false">
      <c r="B2" s="1" t="s">
        <v>299</v>
      </c>
    </row>
    <row r="3" customFormat="false" ht="15" hidden="false" customHeight="false" outlineLevel="0" collapsed="false">
      <c r="B3" s="2" t="s">
        <v>300</v>
      </c>
    </row>
    <row r="5" customFormat="false" ht="15" hidden="false" customHeight="false" outlineLevel="0" collapsed="false">
      <c r="B5" s="11" t="s">
        <v>53</v>
      </c>
      <c r="C5" s="11" t="s">
        <v>54</v>
      </c>
      <c r="D5" s="11" t="s">
        <v>62</v>
      </c>
    </row>
    <row r="6" customFormat="false" ht="15" hidden="false" customHeight="false" outlineLevel="0" collapsed="false">
      <c r="B6" s="12" t="s">
        <v>64</v>
      </c>
      <c r="C6" s="12" t="s">
        <v>65</v>
      </c>
      <c r="D6" s="12" t="s">
        <v>15</v>
      </c>
    </row>
    <row r="7" customFormat="false" ht="15" hidden="false" customHeight="false" outlineLevel="0" collapsed="false">
      <c r="B7" s="12" t="s">
        <v>75</v>
      </c>
      <c r="C7" s="12" t="s">
        <v>76</v>
      </c>
      <c r="D7" s="12" t="s">
        <v>19</v>
      </c>
    </row>
    <row r="8" customFormat="false" ht="26.85" hidden="false" customHeight="false" outlineLevel="0" collapsed="false">
      <c r="B8" s="12" t="s">
        <v>158</v>
      </c>
      <c r="C8" s="12" t="s">
        <v>159</v>
      </c>
      <c r="D8" s="12" t="s">
        <v>18</v>
      </c>
    </row>
    <row r="9" customFormat="false" ht="26.85" hidden="false" customHeight="false" outlineLevel="0" collapsed="false">
      <c r="B9" s="12" t="s">
        <v>161</v>
      </c>
      <c r="C9" s="12" t="s">
        <v>162</v>
      </c>
      <c r="D9" s="12" t="s">
        <v>33</v>
      </c>
    </row>
    <row r="10" customFormat="false" ht="15" hidden="false" customHeight="false" outlineLevel="0" collapsed="false">
      <c r="B10" s="12" t="s">
        <v>164</v>
      </c>
      <c r="C10" s="12" t="s">
        <v>165</v>
      </c>
      <c r="D10" s="12" t="s">
        <v>12</v>
      </c>
    </row>
    <row r="11" customFormat="false" ht="26.85" hidden="false" customHeight="false" outlineLevel="0" collapsed="false">
      <c r="B11" s="12" t="s">
        <v>167</v>
      </c>
      <c r="C11" s="12" t="s">
        <v>168</v>
      </c>
      <c r="D11" s="12" t="s">
        <v>15</v>
      </c>
    </row>
    <row r="12" customFormat="false" ht="26.85" hidden="false" customHeight="false" outlineLevel="0" collapsed="false">
      <c r="B12" s="12" t="s">
        <v>241</v>
      </c>
      <c r="C12" s="12" t="s">
        <v>242</v>
      </c>
      <c r="D12" s="12" t="s">
        <v>26</v>
      </c>
    </row>
    <row r="13" customFormat="false" ht="26.85" hidden="false" customHeight="false" outlineLevel="0" collapsed="false">
      <c r="B13" s="12" t="s">
        <v>244</v>
      </c>
      <c r="C13" s="12" t="s">
        <v>245</v>
      </c>
      <c r="D13" s="12" t="s"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2026-08-29T18:30:23Z</dcterms:created>
  <dc:creator>openpyxl</dc:creator>
  <dc:description/>
  <dc:language>en-US</dc:language>
  <cp:lastModifiedBy/>
  <dcterms:modified xsi:type="dcterms:W3CDTF">2026-08-29T18:30:25Z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